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Planificador\Documents\CONTROL_ENGRASE\"/>
    </mc:Choice>
  </mc:AlternateContent>
  <xr:revisionPtr revIDLastSave="0" documentId="13_ncr:1_{315DD664-1146-40D2-AC2B-A6303566A601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GANTT" sheetId="1" r:id="rId1"/>
    <sheet name="RESUMEN_REPUESTOS" sheetId="2" r:id="rId2"/>
    <sheet name="BACKLOG" sheetId="3" r:id="rId3"/>
  </sheets>
  <definedNames>
    <definedName name="_xlnm._FilterDatabase" localSheetId="2" hidden="1">BACKLOG!$A$1:$L$103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" i="1" l="1"/>
  <c r="C5" i="1"/>
  <c r="B12" i="2"/>
  <c r="C12" i="2"/>
  <c r="D12" i="2"/>
  <c r="E12" i="2"/>
  <c r="F12" i="2"/>
  <c r="L104" i="3"/>
  <c r="F11" i="2"/>
  <c r="E11" i="2"/>
  <c r="D11" i="2"/>
  <c r="C11" i="2"/>
  <c r="B11" i="2"/>
  <c r="F10" i="2"/>
  <c r="E10" i="2"/>
  <c r="D10" i="2"/>
  <c r="C10" i="2"/>
  <c r="B10" i="2"/>
  <c r="F9" i="2"/>
  <c r="E9" i="2"/>
  <c r="D9" i="2"/>
  <c r="C9" i="2"/>
  <c r="B9" i="2"/>
  <c r="F8" i="2"/>
  <c r="E8" i="2"/>
  <c r="D8" i="2"/>
  <c r="C8" i="2"/>
  <c r="B8" i="2"/>
  <c r="F7" i="2"/>
  <c r="E7" i="2"/>
  <c r="H7" i="2" s="1"/>
  <c r="D7" i="2"/>
  <c r="C7" i="2"/>
  <c r="B7" i="2"/>
  <c r="F6" i="2"/>
  <c r="E6" i="2"/>
  <c r="D6" i="2"/>
  <c r="C6" i="2"/>
  <c r="B6" i="2"/>
  <c r="F5" i="2"/>
  <c r="E5" i="2"/>
  <c r="D5" i="2"/>
  <c r="C5" i="2"/>
  <c r="B5" i="2"/>
  <c r="G15" i="1"/>
  <c r="F15" i="1"/>
  <c r="H15" i="1" s="1"/>
  <c r="G14" i="1"/>
  <c r="F14" i="1"/>
  <c r="H14" i="1" s="1"/>
  <c r="G13" i="1"/>
  <c r="F13" i="1"/>
  <c r="H13" i="1" s="1"/>
  <c r="G12" i="1"/>
  <c r="F12" i="1"/>
  <c r="H12" i="1" s="1"/>
  <c r="G11" i="1"/>
  <c r="F11" i="1"/>
  <c r="H11" i="1" s="1"/>
  <c r="G10" i="1"/>
  <c r="F10" i="1"/>
  <c r="H10" i="1" s="1"/>
  <c r="G9" i="1"/>
  <c r="F9" i="1"/>
  <c r="H9" i="1" s="1"/>
  <c r="G8" i="1"/>
  <c r="F8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12" i="2" l="1"/>
  <c r="B13" i="2"/>
  <c r="H11" i="2"/>
  <c r="D13" i="2"/>
  <c r="H5" i="2"/>
  <c r="H8" i="2"/>
  <c r="F13" i="2"/>
  <c r="G7" i="2" s="1"/>
  <c r="H10" i="2"/>
  <c r="H6" i="2"/>
  <c r="C13" i="2"/>
  <c r="H9" i="2"/>
  <c r="H8" i="1"/>
  <c r="E13" i="2"/>
  <c r="G12" i="2" l="1"/>
  <c r="G8" i="2"/>
  <c r="G11" i="2"/>
  <c r="G9" i="2"/>
  <c r="G6" i="2"/>
  <c r="G5" i="2"/>
  <c r="G13" i="2"/>
  <c r="G10" i="2"/>
</calcChain>
</file>

<file path=xl/sharedStrings.xml><?xml version="1.0" encoding="utf-8"?>
<sst xmlns="http://schemas.openxmlformats.org/spreadsheetml/2006/main" count="806" uniqueCount="307">
  <si>
    <t>Fecha de inicio del proyecto:</t>
  </si>
  <si>
    <t>Duracion total del proyecto (dias):</t>
  </si>
  <si>
    <t>Fecha de entrega a Operaciones:</t>
  </si>
  <si>
    <t>ID</t>
  </si>
  <si>
    <t>ACTIVIDAD</t>
  </si>
  <si>
    <t>FRENTE / CUADRILLA</t>
  </si>
  <si>
    <t>DIAS</t>
  </si>
  <si>
    <t>DIA INI</t>
  </si>
  <si>
    <t>DIA FIN</t>
  </si>
  <si>
    <t>FECHA INICIO</t>
  </si>
  <si>
    <t>FECHA FIN</t>
  </si>
  <si>
    <t>Reparacion de front idler (rueda guia) de los carros</t>
  </si>
  <si>
    <t>A - Tren de rodaje</t>
  </si>
  <si>
    <t>Cambio de rodos inferiores y superiores</t>
  </si>
  <si>
    <t>Reparacion de mando final</t>
  </si>
  <si>
    <t>Reconstruccion de hoja topadora (bulldozer)</t>
  </si>
  <si>
    <t>B - Estructuras y soldadura</t>
  </si>
  <si>
    <t>Cambio de barra ecualizadora</t>
  </si>
  <si>
    <t>Instalacion de parrilla antiroca</t>
  </si>
  <si>
    <t>Estandarizacion de sistema de aire acondicionado</t>
  </si>
  <si>
    <t>C - Climatizacion</t>
  </si>
  <si>
    <t>Montaje de cadenas, tensado y calibracion</t>
  </si>
  <si>
    <t>LEYENDA</t>
  </si>
  <si>
    <t>Frente A - Tren de rodaje (mecanicos)</t>
  </si>
  <si>
    <t>Frente B - Estructuras y soldadura</t>
  </si>
  <si>
    <t>Frente C - Climatizacion / electrico</t>
  </si>
  <si>
    <t>Servicio externo - front idler en taller de reconstruccion</t>
  </si>
  <si>
    <t>Fin de semana</t>
  </si>
  <si>
    <t>SECUENCIA Y JUSTIFICACION DE PARALELISMOS</t>
  </si>
  <si>
    <t>2. Cambio de rodos inferiores y superiores</t>
  </si>
  <si>
    <t>En paralelo: se ejecuta con las cadenas ya desmontadas y los front idlers fuera de maquina.</t>
  </si>
  <si>
    <t>3. Reparacion de mando final</t>
  </si>
  <si>
    <t>4. Reconstruccion de hoja topadora (bulldozer)</t>
  </si>
  <si>
    <t>Hoja desmontada desde D1; libera el frente para ecualizadora. Consumibles de soldadura, no requiere backlog.</t>
  </si>
  <si>
    <t>5. Cambio de barra ecualizadora</t>
  </si>
  <si>
    <t>En paralelo. Requiere la hoja topadora fuera de maquina (ya desmontada en actividad 4).</t>
  </si>
  <si>
    <t>6. Instalacion de parrilla antiroca</t>
  </si>
  <si>
    <t>Ultimo trabajo con soldadura: se ejecuta ANTES del A/C para no danar mangueras ni condensador nuevos.</t>
  </si>
  <si>
    <t>7. Estandarizacion de sistema de aire acondicionado</t>
  </si>
  <si>
    <t>Inicia con toda la soldadura terminada. Incluye vacio, carga de refrigerante y prueba de estanqueidad.</t>
  </si>
  <si>
    <t>8. Montaje de cadenas, tensado y calibracion</t>
  </si>
  <si>
    <t>Actividad de cierre agregada por planificacion (no estaba en el listado original).</t>
  </si>
  <si>
    <t>9. Pruebas funcionales en vacio y con carga</t>
  </si>
  <si>
    <t>Prueba de 2 h con operador; verificacion de fugas, temperaturas y presiones.</t>
  </si>
  <si>
    <t>RESUMEN DE REPUESTOS DEL BACKLOG POR ACTIVIDAD - D8T 05-68</t>
  </si>
  <si>
    <t>Fuente: REPUESTOS_DE_BACKLOG_05-68.xlsx (archivo entregado por el usuario). El MONTO USD del archivo se toma como monto total de la linea.</t>
  </si>
  <si>
    <t>ITEMS</t>
  </si>
  <si>
    <t>DISPONIBLES</t>
  </si>
  <si>
    <t>PARCIALES</t>
  </si>
  <si>
    <t>SIN EXISTENCIA</t>
  </si>
  <si>
    <t>MONTO USD</t>
  </si>
  <si>
    <t>% DEL TOTAL</t>
  </si>
  <si>
    <t>SEMAFORO</t>
  </si>
  <si>
    <t>TOTAL BACKLOG</t>
  </si>
  <si>
    <t>SISTEMA</t>
  </si>
  <si>
    <t>CODIGO</t>
  </si>
  <si>
    <t># PARTE</t>
  </si>
  <si>
    <t>DESCRIPCION</t>
  </si>
  <si>
    <t>CANT. REQ.</t>
  </si>
  <si>
    <t>EXISTENCIA (texto)</t>
  </si>
  <si>
    <t>EXIST. TOTAL</t>
  </si>
  <si>
    <t>ESTADO</t>
  </si>
  <si>
    <t>UBICACION</t>
  </si>
  <si>
    <t>ALMACEN</t>
  </si>
  <si>
    <t>Grupo De Bastidor De Retroceso Longitudinal</t>
  </si>
  <si>
    <t>3T5898</t>
  </si>
  <si>
    <t>RING-RETAINING, 3T5898</t>
  </si>
  <si>
    <t>4 | 2</t>
  </si>
  <si>
    <t>DISPONIBLE</t>
  </si>
  <si>
    <t>C2-H04 | BF14J01</t>
  </si>
  <si>
    <t>ALMACEN13A | CONSIGNADO NIMAC</t>
  </si>
  <si>
    <t>7G7379</t>
  </si>
  <si>
    <t>BUJE 7G7379</t>
  </si>
  <si>
    <t>3 | 2</t>
  </si>
  <si>
    <t>C4-D03 | BE13B02</t>
  </si>
  <si>
    <t>9W3301</t>
  </si>
  <si>
    <t>RING-RETAINING, 9W3301</t>
  </si>
  <si>
    <t>C2-H04 | C1-2B5</t>
  </si>
  <si>
    <t>9X4584</t>
  </si>
  <si>
    <t>SEAL AS, 9X4584</t>
  </si>
  <si>
    <t>C2-H01 | BF14J01</t>
  </si>
  <si>
    <t>BASE DE RODO SUPERIOR</t>
  </si>
  <si>
    <t>CAP AS-TRACK ROLLER, 1311651</t>
  </si>
  <si>
    <t>6 | 40</t>
  </si>
  <si>
    <t>C1-H07 | BF14H01</t>
  </si>
  <si>
    <t>SUPPORT, 2873293</t>
  </si>
  <si>
    <t>C1-E01</t>
  </si>
  <si>
    <t>ALMACEN13A</t>
  </si>
  <si>
    <t>5P8249</t>
  </si>
  <si>
    <t>Arandela # 5P-8249</t>
  </si>
  <si>
    <t>88 | 67</t>
  </si>
  <si>
    <t>C2-B03 | C1-2A2</t>
  </si>
  <si>
    <t>6T1140</t>
  </si>
  <si>
    <t>BOLT-ROLLER MOUNTING, 6T1140</t>
  </si>
  <si>
    <t>16 | 72</t>
  </si>
  <si>
    <t>C1-F01 | BF14G02</t>
  </si>
  <si>
    <t>7X0408</t>
  </si>
  <si>
    <t>BOLT, 7X0408</t>
  </si>
  <si>
    <t>C1-F02</t>
  </si>
  <si>
    <t>8T5361</t>
  </si>
  <si>
    <t>WASHER-HARD, 8T5361</t>
  </si>
  <si>
    <t>C3-G03</t>
  </si>
  <si>
    <t>Rodos</t>
  </si>
  <si>
    <t>ROLLER GP-TRACK SINGLE, 4197172</t>
  </si>
  <si>
    <t>33A01</t>
  </si>
  <si>
    <t>RODO</t>
  </si>
  <si>
    <t>0</t>
  </si>
  <si>
    <t>CONSIGNADO NIMAC</t>
  </si>
  <si>
    <t>6C3220</t>
  </si>
  <si>
    <t>BOLT</t>
  </si>
  <si>
    <t>PARCIAL</t>
  </si>
  <si>
    <t>B11A01</t>
  </si>
  <si>
    <t>MANDO FINAL</t>
  </si>
  <si>
    <t>1M7911</t>
  </si>
  <si>
    <t>Cuna</t>
  </si>
  <si>
    <t>C2-H03</t>
  </si>
  <si>
    <t>Sin Existencia</t>
  </si>
  <si>
    <t>1M7912</t>
  </si>
  <si>
    <t>Sin Existencia | Sin Existencia</t>
  </si>
  <si>
    <t>2R0098</t>
  </si>
  <si>
    <t>SEAL-O-RING, 2R0098</t>
  </si>
  <si>
    <t>1 | 1</t>
  </si>
  <si>
    <t>C1-C02 | C5-J01</t>
  </si>
  <si>
    <t>ALMACEN01H | ALMACEN13A</t>
  </si>
  <si>
    <t>2S4078</t>
  </si>
  <si>
    <t>Sello 2S4078</t>
  </si>
  <si>
    <t>6 | 2</t>
  </si>
  <si>
    <t>C1-C02 | BF20C03</t>
  </si>
  <si>
    <t>Carcasa</t>
  </si>
  <si>
    <t>30A01</t>
  </si>
  <si>
    <t>ALMACEN01H</t>
  </si>
  <si>
    <t>3D2895</t>
  </si>
  <si>
    <t>3K0360</t>
  </si>
  <si>
    <t>Sello (Caucho)/3K0360</t>
  </si>
  <si>
    <t>1 | 4</t>
  </si>
  <si>
    <t>C2-D03 | BF14D03</t>
  </si>
  <si>
    <t>ALMACEN01H | CONSIGNADO NIMAC</t>
  </si>
  <si>
    <t>3T5923</t>
  </si>
  <si>
    <t>5F2465</t>
  </si>
  <si>
    <t>Cuna para Balinera</t>
  </si>
  <si>
    <t>C6-E03</t>
  </si>
  <si>
    <t>5F7054</t>
  </si>
  <si>
    <t>SEAL-O-RING, 5F7054</t>
  </si>
  <si>
    <t>C2-I03 | BF12C02</t>
  </si>
  <si>
    <t>5K8454</t>
  </si>
  <si>
    <t>BOLT, 5K8454</t>
  </si>
  <si>
    <t>C2-F03</t>
  </si>
  <si>
    <t>5P8472</t>
  </si>
  <si>
    <t>RING-RETAINING, 5P8472</t>
  </si>
  <si>
    <t>C4-J01</t>
  </si>
  <si>
    <t>6T2173</t>
  </si>
  <si>
    <t>PIN, 6T2173</t>
  </si>
  <si>
    <t>C3-A02</t>
  </si>
  <si>
    <t>6V0662</t>
  </si>
  <si>
    <t>6V0663</t>
  </si>
  <si>
    <t>6V0664</t>
  </si>
  <si>
    <t>BEARING, CONE 6V-0664</t>
  </si>
  <si>
    <t>C6-D02</t>
  </si>
  <si>
    <t>6Y0859</t>
  </si>
  <si>
    <t>SEAL GP-DUO-CONE, 6Y-0859</t>
  </si>
  <si>
    <t>1 | 2</t>
  </si>
  <si>
    <t>C1-C02 | C3-C02</t>
  </si>
  <si>
    <t>7G5831</t>
  </si>
  <si>
    <t>RING, 7G5831</t>
  </si>
  <si>
    <t>C6-C05</t>
  </si>
  <si>
    <t>7G5832</t>
  </si>
  <si>
    <t>Retenedor</t>
  </si>
  <si>
    <t>7T2524</t>
  </si>
  <si>
    <t>7T2530</t>
  </si>
  <si>
    <t>ANILLO</t>
  </si>
  <si>
    <t>CONTENEDOR 3</t>
  </si>
  <si>
    <t>7T9526</t>
  </si>
  <si>
    <t>Cono</t>
  </si>
  <si>
    <t>7T9527</t>
  </si>
  <si>
    <t>Pista</t>
  </si>
  <si>
    <t>7X4777</t>
  </si>
  <si>
    <t>SEAL-LIP TYPE, 7X4777</t>
  </si>
  <si>
    <t>8E7532</t>
  </si>
  <si>
    <t>8E7533</t>
  </si>
  <si>
    <t>8J1665</t>
  </si>
  <si>
    <t>SEAL, 8J1665</t>
  </si>
  <si>
    <t>C4-H04</t>
  </si>
  <si>
    <t>9H0846</t>
  </si>
  <si>
    <t>Seal,#9H-0846</t>
  </si>
  <si>
    <t>C2-E01 | C1-2A3</t>
  </si>
  <si>
    <t>9S4185</t>
  </si>
  <si>
    <t>Plug Oring (3/4 16 Thd) #9S4185</t>
  </si>
  <si>
    <t>C6-H02</t>
  </si>
  <si>
    <t>9W3232</t>
  </si>
  <si>
    <t>9W3377</t>
  </si>
  <si>
    <t>Eje</t>
  </si>
  <si>
    <t>Conjunto De Barras Compensadoras</t>
  </si>
  <si>
    <t>BEARING-SELF-ALIGNING, 1174013</t>
  </si>
  <si>
    <t>2 | 2</t>
  </si>
  <si>
    <t>C6-C03 | C1-2B2</t>
  </si>
  <si>
    <t>BUSHING, 1303139</t>
  </si>
  <si>
    <t>C1-B02 | C1-2B2</t>
  </si>
  <si>
    <t>5F1678</t>
  </si>
  <si>
    <t>Oring P/Sistema Hidraulic #5F1678</t>
  </si>
  <si>
    <t>C4-K02</t>
  </si>
  <si>
    <t>5L4751</t>
  </si>
  <si>
    <t>RING-RETAINING 5L4751</t>
  </si>
  <si>
    <t>12 | 4</t>
  </si>
  <si>
    <t>C4-J04 | C1-2A3</t>
  </si>
  <si>
    <t>7G8664</t>
  </si>
  <si>
    <t>SEAL, 7G8664</t>
  </si>
  <si>
    <t>C1-B02 | C1-2A3</t>
  </si>
  <si>
    <t>7G8666</t>
  </si>
  <si>
    <t>SEAL AS, 7G8666</t>
  </si>
  <si>
    <t>9X7505</t>
  </si>
  <si>
    <t>SELLO</t>
  </si>
  <si>
    <t>C1-2A3</t>
  </si>
  <si>
    <t>Grupo De Barras Compensadoras</t>
  </si>
  <si>
    <t>PIN, 2195735</t>
  </si>
  <si>
    <t>C1-H03 | C1-2A1</t>
  </si>
  <si>
    <t>PIN, 2195743</t>
  </si>
  <si>
    <t>C2-G01 | C1-2A1</t>
  </si>
  <si>
    <t>3T5294</t>
  </si>
  <si>
    <t>SPACER, 3T5294</t>
  </si>
  <si>
    <t>2 | 12</t>
  </si>
  <si>
    <t>C1-B02 | C6-D03</t>
  </si>
  <si>
    <t>ALMACEN13A | ALMACEN13A</t>
  </si>
  <si>
    <t>6Y9508</t>
  </si>
  <si>
    <t>PAD AS, 6Y9508</t>
  </si>
  <si>
    <t>C3-F03</t>
  </si>
  <si>
    <t>6Y9509</t>
  </si>
  <si>
    <t>PAD AS, 6Y9509</t>
  </si>
  <si>
    <t>8T1583</t>
  </si>
  <si>
    <t>NUT, 8T1583</t>
  </si>
  <si>
    <t>4 | 4</t>
  </si>
  <si>
    <t>C1-B03 | C1-2A2</t>
  </si>
  <si>
    <t>9X6151</t>
  </si>
  <si>
    <t>BOLT, 9X6151</t>
  </si>
  <si>
    <t>C1-C01 | BE11E04</t>
  </si>
  <si>
    <t>9X8399</t>
  </si>
  <si>
    <t>WASHER, 9X8399</t>
  </si>
  <si>
    <t>42 | 8</t>
  </si>
  <si>
    <t>C1-C02 | C1-2A4</t>
  </si>
  <si>
    <t>guarda de topadora</t>
  </si>
  <si>
    <t>PROTECTOR</t>
  </si>
  <si>
    <t>volcan</t>
  </si>
  <si>
    <t>PLATO</t>
  </si>
  <si>
    <t>8E1454</t>
  </si>
  <si>
    <t>8E1455</t>
  </si>
  <si>
    <t>REP. DE SISTEMA DE AIRE ACONDICIONADO</t>
  </si>
  <si>
    <t>Esparrago</t>
  </si>
  <si>
    <t>C3-B03</t>
  </si>
  <si>
    <t>Abrazadera</t>
  </si>
  <si>
    <t>Clip-Loop</t>
  </si>
  <si>
    <t>Clip</t>
  </si>
  <si>
    <t>FITTING AS-AIR CONDITIONER, 1878661</t>
  </si>
  <si>
    <t>1S6420</t>
  </si>
  <si>
    <t>HOSE AS, 2182244</t>
  </si>
  <si>
    <t>C3-B03 | C3-E04</t>
  </si>
  <si>
    <t>SEAL-O-RING, 2287088</t>
  </si>
  <si>
    <t>C2-I03</t>
  </si>
  <si>
    <t>Empaque</t>
  </si>
  <si>
    <t>CORE AS CONDENSER, 2527134</t>
  </si>
  <si>
    <t>C3-E04</t>
  </si>
  <si>
    <t>Secador 2573226</t>
  </si>
  <si>
    <t>1 | 5</t>
  </si>
  <si>
    <t>C3-B03 | C1-1E2</t>
  </si>
  <si>
    <t>HOSE AS, 2656975</t>
  </si>
  <si>
    <t>Abanico 05-19</t>
  </si>
  <si>
    <t>Case As</t>
  </si>
  <si>
    <t>C3-F04</t>
  </si>
  <si>
    <t>Filtro Aire</t>
  </si>
  <si>
    <t>C3-A04</t>
  </si>
  <si>
    <t>FILTER, 3187190</t>
  </si>
  <si>
    <t>HOSE AS, 3205074</t>
  </si>
  <si>
    <t>2 | 1</t>
  </si>
  <si>
    <t>C4-A01 | C1-2E5</t>
  </si>
  <si>
    <t>FILTRO AIRE ACOND, 3267963</t>
  </si>
  <si>
    <t>HOSE, ASSY 3488635</t>
  </si>
  <si>
    <t>Manguera Cm</t>
  </si>
  <si>
    <t>3E7404</t>
  </si>
  <si>
    <t>Clamp Hose</t>
  </si>
  <si>
    <t>3E8020</t>
  </si>
  <si>
    <t>Perno # 3E-8020</t>
  </si>
  <si>
    <t>9 | 10</t>
  </si>
  <si>
    <t>C5-C03 | C6-D03</t>
  </si>
  <si>
    <t>COIL AS-EVAP, 4186836</t>
  </si>
  <si>
    <t>Hose as 4582087</t>
  </si>
  <si>
    <t>5P5637</t>
  </si>
  <si>
    <t>Sello</t>
  </si>
  <si>
    <t>ARNES DE Transmisión</t>
  </si>
  <si>
    <t>Empaque (Caucho)</t>
  </si>
  <si>
    <t>C4-J02</t>
  </si>
  <si>
    <t>Harness</t>
  </si>
  <si>
    <t>BODEGA RESGUARDO</t>
  </si>
  <si>
    <t>HARNESS AS., 3795846</t>
  </si>
  <si>
    <t>PROTECTOR DE TURBO</t>
  </si>
  <si>
    <t>TZC13611</t>
  </si>
  <si>
    <t>Funda para turbo C13 y C15 #TZC13611</t>
  </si>
  <si>
    <t>C5-J03</t>
  </si>
  <si>
    <t>TOTAL</t>
  </si>
  <si>
    <t>Mina Volcan  |  Diagrama de Gantt y programacion de frentes en paralelo</t>
  </si>
  <si>
    <t>Observacion</t>
  </si>
  <si>
    <t>Cambio de arnes de transmision</t>
  </si>
  <si>
    <t>Instalacion de protector de turbo</t>
  </si>
  <si>
    <t>Reparacion de front idler de los carros</t>
  </si>
  <si>
    <t>1. Reparacion de front idler de los carros</t>
  </si>
  <si>
    <t>RUTA CRITICA. Ambos carros. D1 desmontaje de cadenas y extraccion de front idlers / D2 envio a taller de reconstruccion (relleno y maquinado de pistas) / D7 retorno / D8 montaje con sellos y bujes nuevos.</t>
  </si>
  <si>
    <t xml:space="preserve">RIESGO ALTO: 9 partes en EN SOLICITUD DE COMPRA </t>
  </si>
  <si>
    <t>PLAN DE MANTENIMIENTO MAYOR - TRACTOR CAT D8T  /  CODIGO 05-68</t>
  </si>
  <si>
    <t>En Oc, ingresan el 8/9/26</t>
  </si>
  <si>
    <t>Pendiente ingreso de pernos de rodos ingresan: 9/9/26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</si>
</sst>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yy"/>
    <numFmt numFmtId="165" formatCode="ddd\ dd/mm"/>
    <numFmt numFmtId="166" formatCode="\$#,##0;&quot;($&quot;#,##0\);\-"/>
    <numFmt numFmtId="167" formatCode="0.0%"/>
    <numFmt numFmtId="168" formatCode="\$#,##0.00;&quot;($&quot;#,##0.00\);\-"/>
  </numFmts>
  <fonts count="17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0"/>
      <color rgb="FF595959"/>
      <name val="Arial"/>
      <charset val="1"/>
    </font>
    <font>
      <b/>
      <sz val="10"/>
      <name val="Arial"/>
      <charset val="1"/>
    </font>
    <font>
      <b/>
      <sz val="10"/>
      <color rgb="FF0000FF"/>
      <name val="Arial"/>
      <charset val="1"/>
    </font>
    <font>
      <i/>
      <sz val="9"/>
      <color rgb="FFBF9000"/>
      <name val="Arial"/>
      <charset val="1"/>
    </font>
    <font>
      <b/>
      <sz val="10"/>
      <color rgb="FFC00000"/>
      <name val="Arial"/>
      <charset val="1"/>
    </font>
    <font>
      <b/>
      <sz val="9"/>
      <color rgb="FFFFFFFF"/>
      <name val="Arial"/>
      <charset val="1"/>
    </font>
    <font>
      <b/>
      <sz val="8"/>
      <color rgb="FFFFFFFF"/>
      <name val="Arial"/>
      <charset val="1"/>
    </font>
    <font>
      <sz val="9"/>
      <name val="Arial"/>
      <charset val="1"/>
    </font>
    <font>
      <b/>
      <sz val="9"/>
      <color rgb="FFED7D31"/>
      <name val="Arial"/>
      <charset val="1"/>
    </font>
    <font>
      <b/>
      <sz val="9"/>
      <color rgb="FF4472C4"/>
      <name val="Arial"/>
      <charset val="1"/>
    </font>
    <font>
      <b/>
      <sz val="9"/>
      <color rgb="FF2E9E8F"/>
      <name val="Arial"/>
      <charset val="1"/>
    </font>
    <font>
      <b/>
      <sz val="9"/>
      <name val="Arial"/>
      <charset val="1"/>
    </font>
    <font>
      <b/>
      <sz val="10"/>
      <color rgb="FF1F3864"/>
      <name val="Arial"/>
      <charset val="1"/>
    </font>
    <font>
      <b/>
      <sz val="13"/>
      <color rgb="FF1F3864"/>
      <name val="Arial"/>
      <charset val="1"/>
    </font>
    <font>
      <i/>
      <sz val="9"/>
      <color rgb="FF595959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2F3"/>
        <bgColor rgb="FFEDEDED"/>
      </patternFill>
    </fill>
    <fill>
      <patternFill patternType="solid">
        <fgColor rgb="FFED7D31"/>
        <bgColor rgb="FFFF8080"/>
      </patternFill>
    </fill>
    <fill>
      <patternFill patternType="solid">
        <fgColor rgb="FF4472C4"/>
        <bgColor rgb="FF0066CC"/>
      </patternFill>
    </fill>
    <fill>
      <patternFill patternType="solid">
        <fgColor rgb="FF2E9E8F"/>
        <bgColor rgb="FF008080"/>
      </patternFill>
    </fill>
    <fill>
      <patternFill patternType="solid">
        <fgColor rgb="FFA6A6A6"/>
        <bgColor rgb="FFBFBFBF"/>
      </patternFill>
    </fill>
    <fill>
      <patternFill patternType="solid">
        <fgColor rgb="FFEDEDED"/>
        <b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3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165" fontId="8" fillId="3" borderId="1" xfId="0" applyNumberFormat="1" applyFont="1" applyFill="1" applyBorder="1" applyAlignment="1">
      <alignment horizontal="center" textRotation="90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164" fontId="9" fillId="0" borderId="1" xfId="0" applyNumberFormat="1" applyFont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3" fillId="4" borderId="1" xfId="0" applyFont="1" applyFill="1" applyBorder="1" applyAlignment="1">
      <alignment horizontal="center"/>
    </xf>
    <xf numFmtId="0" fontId="14" fillId="0" borderId="0" xfId="0" applyFont="1"/>
    <xf numFmtId="0" fontId="0" fillId="5" borderId="1" xfId="0" applyFill="1" applyBorder="1"/>
    <xf numFmtId="0" fontId="9" fillId="0" borderId="0" xfId="0" applyFon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13" fillId="0" borderId="0" xfId="0" applyFont="1"/>
    <xf numFmtId="0" fontId="15" fillId="0" borderId="0" xfId="0" applyFont="1"/>
    <xf numFmtId="0" fontId="16" fillId="0" borderId="0" xfId="0" applyFont="1"/>
    <xf numFmtId="167" fontId="9" fillId="0" borderId="1" xfId="0" applyNumberFormat="1" applyFont="1" applyBorder="1" applyAlignment="1">
      <alignment horizontal="center" vertical="center"/>
    </xf>
    <xf numFmtId="0" fontId="13" fillId="4" borderId="1" xfId="0" applyFont="1" applyFill="1" applyBorder="1" applyAlignment="1">
      <alignment horizontal="left"/>
    </xf>
    <xf numFmtId="166" fontId="13" fillId="4" borderId="1" xfId="0" applyNumberFormat="1" applyFont="1" applyFill="1" applyBorder="1" applyAlignment="1">
      <alignment horizontal="center"/>
    </xf>
    <xf numFmtId="167" fontId="13" fillId="4" borderId="1" xfId="0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left" vertical="center"/>
    </xf>
    <xf numFmtId="168" fontId="13" fillId="0" borderId="0" xfId="0" applyNumberFormat="1" applyFont="1"/>
    <xf numFmtId="0" fontId="1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" xfId="0" applyNumberFormat="1" applyFont="1" applyBorder="1" applyAlignment="1">
      <alignment horizontal="left" vertical="center"/>
    </xf>
    <xf numFmtId="0" fontId="9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3">
    <dxf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EDEDED"/>
        </patternFill>
      </fill>
    </dxf>
    <dxf>
      <fill>
        <patternFill>
          <bgColor rgb="FFA6A6A6"/>
        </patternFill>
      </fill>
    </dxf>
    <dxf>
      <fill>
        <patternFill>
          <bgColor rgb="FF7030A0"/>
        </patternFill>
      </fill>
    </dxf>
    <dxf>
      <fill>
        <patternFill>
          <bgColor rgb="FF2E9E8F"/>
        </patternFill>
      </fill>
    </dxf>
    <dxf>
      <fill>
        <patternFill>
          <bgColor rgb="FF4472C4"/>
        </patternFill>
      </fill>
    </dxf>
    <dxf>
      <fill>
        <patternFill>
          <bgColor rgb="FFED7D3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7030A0"/>
      <rgbColor rgb="FFEDEDED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BF9000"/>
      <rgbColor rgb="FFED7D31"/>
      <rgbColor rgb="FF595959"/>
      <rgbColor rgb="FFA6A6A6"/>
      <rgbColor rgb="FF1F3864"/>
      <rgbColor rgb="FF2E9E8F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4"/>
  <sheetViews>
    <sheetView showGridLines="0" zoomScaleNormal="100" workbookViewId="0">
      <pane ySplit="7" topLeftCell="A8" activePane="bottomLeft" state="frozen"/>
      <selection pane="bottomLeft" activeCell="G24" sqref="G24"/>
    </sheetView>
  </sheetViews>
  <sheetFormatPr baseColWidth="10" defaultColWidth="8.7109375" defaultRowHeight="15" x14ac:dyDescent="0.25"/>
  <cols>
    <col min="1" max="1" width="5" customWidth="1"/>
    <col min="2" max="2" width="47.28515625" bestFit="1" customWidth="1"/>
    <col min="3" max="3" width="26" customWidth="1"/>
    <col min="4" max="4" width="7" customWidth="1"/>
    <col min="5" max="6" width="8" customWidth="1"/>
    <col min="7" max="8" width="13" customWidth="1"/>
    <col min="9" max="26" width="4.140625" customWidth="1"/>
  </cols>
  <sheetData>
    <row r="1" spans="1:26" ht="18" x14ac:dyDescent="0.25">
      <c r="A1" s="1" t="s">
        <v>304</v>
      </c>
    </row>
    <row r="2" spans="1:26" x14ac:dyDescent="0.25">
      <c r="A2" s="2" t="s">
        <v>296</v>
      </c>
    </row>
    <row r="4" spans="1:26" x14ac:dyDescent="0.25">
      <c r="A4" s="3" t="s">
        <v>0</v>
      </c>
      <c r="C4" s="38">
        <v>46272</v>
      </c>
      <c r="D4" s="4"/>
    </row>
    <row r="5" spans="1:26" x14ac:dyDescent="0.25">
      <c r="A5" s="3" t="s">
        <v>1</v>
      </c>
      <c r="C5" s="5">
        <f>MAX(F8:F15)-MIN(E8:E15)+1</f>
        <v>13</v>
      </c>
    </row>
    <row r="6" spans="1:26" x14ac:dyDescent="0.25">
      <c r="A6" s="3" t="s">
        <v>2</v>
      </c>
      <c r="C6" s="6">
        <f>$C$4+MAX(F8:F15)-1</f>
        <v>46284</v>
      </c>
    </row>
    <row r="7" spans="1:26" ht="61.5" customHeight="1" x14ac:dyDescent="0.25">
      <c r="A7" s="7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  <c r="G7" s="7" t="s">
        <v>9</v>
      </c>
      <c r="H7" s="7" t="s">
        <v>10</v>
      </c>
      <c r="I7" s="8">
        <f>$C$4+0</f>
        <v>46272</v>
      </c>
      <c r="J7" s="8">
        <f>$C$4+1</f>
        <v>46273</v>
      </c>
      <c r="K7" s="8">
        <f>$C$4+2</f>
        <v>46274</v>
      </c>
      <c r="L7" s="8">
        <f>$C$4+3</f>
        <v>46275</v>
      </c>
      <c r="M7" s="8">
        <f>$C$4+4</f>
        <v>46276</v>
      </c>
      <c r="N7" s="8">
        <f>$C$4+5</f>
        <v>46277</v>
      </c>
      <c r="O7" s="8">
        <f>$C$4+6</f>
        <v>46278</v>
      </c>
      <c r="P7" s="8">
        <f>$C$4+7</f>
        <v>46279</v>
      </c>
      <c r="Q7" s="8">
        <f>$C$4+8</f>
        <v>46280</v>
      </c>
      <c r="R7" s="8">
        <f>$C$4+9</f>
        <v>46281</v>
      </c>
      <c r="S7" s="8">
        <f>$C$4+10</f>
        <v>46282</v>
      </c>
      <c r="T7" s="8">
        <f>$C$4+11</f>
        <v>46283</v>
      </c>
      <c r="U7" s="8">
        <f>$C$4+12</f>
        <v>46284</v>
      </c>
      <c r="V7" s="8">
        <f>$C$4+13</f>
        <v>46285</v>
      </c>
      <c r="W7" s="8">
        <f>$C$4+14</f>
        <v>46286</v>
      </c>
      <c r="X7" s="8">
        <f>$C$4+15</f>
        <v>46287</v>
      </c>
      <c r="Y7" s="8">
        <f>$C$4+16</f>
        <v>46288</v>
      </c>
      <c r="Z7" s="8">
        <f>$C$4+17</f>
        <v>46289</v>
      </c>
    </row>
    <row r="8" spans="1:26" ht="19.5" customHeight="1" x14ac:dyDescent="0.25">
      <c r="A8" s="9">
        <v>1</v>
      </c>
      <c r="B8" s="10" t="s">
        <v>300</v>
      </c>
      <c r="C8" s="11" t="s">
        <v>12</v>
      </c>
      <c r="D8" s="9">
        <v>9</v>
      </c>
      <c r="E8" s="9">
        <v>1</v>
      </c>
      <c r="F8" s="9">
        <f t="shared" ref="F8:F15" si="0">E8+D8-1</f>
        <v>9</v>
      </c>
      <c r="G8" s="12">
        <f t="shared" ref="G8:G15" si="1">$C$4+E8-1</f>
        <v>46272</v>
      </c>
      <c r="H8" s="12">
        <f t="shared" ref="H8:H15" si="2">$C$4+F8-1</f>
        <v>46280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9.5" customHeight="1" x14ac:dyDescent="0.25">
      <c r="A9" s="9">
        <v>2</v>
      </c>
      <c r="B9" s="10" t="s">
        <v>13</v>
      </c>
      <c r="C9" s="11" t="s">
        <v>12</v>
      </c>
      <c r="D9" s="9">
        <v>4</v>
      </c>
      <c r="E9" s="9">
        <v>4</v>
      </c>
      <c r="F9" s="9">
        <f t="shared" si="0"/>
        <v>7</v>
      </c>
      <c r="G9" s="12">
        <f t="shared" si="1"/>
        <v>46275</v>
      </c>
      <c r="H9" s="12">
        <f t="shared" si="2"/>
        <v>46278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9.5" customHeight="1" x14ac:dyDescent="0.25">
      <c r="A10" s="9">
        <v>3</v>
      </c>
      <c r="B10" s="10" t="s">
        <v>14</v>
      </c>
      <c r="C10" s="11" t="s">
        <v>12</v>
      </c>
      <c r="D10" s="9">
        <v>2</v>
      </c>
      <c r="E10" s="9">
        <v>6</v>
      </c>
      <c r="F10" s="9">
        <f t="shared" si="0"/>
        <v>7</v>
      </c>
      <c r="G10" s="12">
        <f t="shared" si="1"/>
        <v>46277</v>
      </c>
      <c r="H10" s="12">
        <f t="shared" si="2"/>
        <v>46278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9.5" customHeight="1" x14ac:dyDescent="0.25">
      <c r="A11" s="9">
        <v>4</v>
      </c>
      <c r="B11" s="10" t="s">
        <v>15</v>
      </c>
      <c r="C11" s="15" t="s">
        <v>16</v>
      </c>
      <c r="D11" s="9">
        <v>4</v>
      </c>
      <c r="E11" s="9">
        <v>1</v>
      </c>
      <c r="F11" s="9">
        <f t="shared" si="0"/>
        <v>4</v>
      </c>
      <c r="G11" s="12">
        <f t="shared" si="1"/>
        <v>46272</v>
      </c>
      <c r="H11" s="12">
        <f t="shared" si="2"/>
        <v>46275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9.5" customHeight="1" x14ac:dyDescent="0.25">
      <c r="A12" s="9">
        <v>5</v>
      </c>
      <c r="B12" s="10" t="s">
        <v>17</v>
      </c>
      <c r="C12" s="15" t="s">
        <v>16</v>
      </c>
      <c r="D12" s="9">
        <v>2</v>
      </c>
      <c r="E12" s="9">
        <v>10</v>
      </c>
      <c r="F12" s="9">
        <f t="shared" si="0"/>
        <v>11</v>
      </c>
      <c r="G12" s="12">
        <f t="shared" si="1"/>
        <v>46281</v>
      </c>
      <c r="H12" s="12">
        <f t="shared" si="2"/>
        <v>46282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9.5" customHeight="1" x14ac:dyDescent="0.25">
      <c r="A13" s="9">
        <v>6</v>
      </c>
      <c r="B13" s="10" t="s">
        <v>18</v>
      </c>
      <c r="C13" s="15" t="s">
        <v>16</v>
      </c>
      <c r="D13" s="9">
        <v>2</v>
      </c>
      <c r="E13" s="9">
        <v>5</v>
      </c>
      <c r="F13" s="9">
        <f t="shared" si="0"/>
        <v>6</v>
      </c>
      <c r="G13" s="12">
        <f t="shared" si="1"/>
        <v>46276</v>
      </c>
      <c r="H13" s="12">
        <f t="shared" si="2"/>
        <v>46277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9.5" customHeight="1" x14ac:dyDescent="0.25">
      <c r="A14" s="9">
        <v>7</v>
      </c>
      <c r="B14" s="10" t="s">
        <v>19</v>
      </c>
      <c r="C14" s="16" t="s">
        <v>20</v>
      </c>
      <c r="D14" s="9">
        <v>4</v>
      </c>
      <c r="E14" s="9">
        <v>9</v>
      </c>
      <c r="F14" s="9">
        <f t="shared" si="0"/>
        <v>12</v>
      </c>
      <c r="G14" s="12">
        <f t="shared" si="1"/>
        <v>46280</v>
      </c>
      <c r="H14" s="12">
        <f t="shared" si="2"/>
        <v>46283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9.5" customHeight="1" x14ac:dyDescent="0.25">
      <c r="A15" s="9">
        <v>8</v>
      </c>
      <c r="B15" s="10" t="s">
        <v>21</v>
      </c>
      <c r="C15" s="11" t="s">
        <v>12</v>
      </c>
      <c r="D15" s="9">
        <v>1</v>
      </c>
      <c r="E15" s="9">
        <v>13</v>
      </c>
      <c r="F15" s="9">
        <f t="shared" si="0"/>
        <v>13</v>
      </c>
      <c r="G15" s="12">
        <f t="shared" si="1"/>
        <v>46284</v>
      </c>
      <c r="H15" s="12">
        <f t="shared" si="2"/>
        <v>46284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x14ac:dyDescent="0.25">
      <c r="D16" s="39"/>
    </row>
    <row r="17" spans="2:8" x14ac:dyDescent="0.25">
      <c r="B17" s="18" t="s">
        <v>22</v>
      </c>
    </row>
    <row r="18" spans="2:8" x14ac:dyDescent="0.25">
      <c r="B18" s="19"/>
      <c r="C18" s="20" t="s">
        <v>23</v>
      </c>
    </row>
    <row r="19" spans="2:8" x14ac:dyDescent="0.25">
      <c r="B19" s="21"/>
      <c r="C19" s="20" t="s">
        <v>24</v>
      </c>
    </row>
    <row r="20" spans="2:8" x14ac:dyDescent="0.25">
      <c r="B20" s="22"/>
      <c r="C20" s="20" t="s">
        <v>25</v>
      </c>
    </row>
    <row r="21" spans="2:8" x14ac:dyDescent="0.25">
      <c r="B21" s="23"/>
      <c r="C21" s="20" t="s">
        <v>26</v>
      </c>
    </row>
    <row r="22" spans="2:8" x14ac:dyDescent="0.25">
      <c r="B22" s="24"/>
      <c r="C22" s="20" t="s">
        <v>27</v>
      </c>
    </row>
    <row r="25" spans="2:8" x14ac:dyDescent="0.25">
      <c r="B25" s="34" t="s">
        <v>28</v>
      </c>
      <c r="C25" s="35"/>
      <c r="D25" s="35"/>
      <c r="E25" s="35"/>
      <c r="F25" s="35"/>
      <c r="G25" s="35"/>
      <c r="H25" s="35"/>
    </row>
    <row r="26" spans="2:8" ht="25.5" customHeight="1" x14ac:dyDescent="0.25">
      <c r="B26" s="36" t="s">
        <v>301</v>
      </c>
      <c r="C26" s="35"/>
      <c r="D26" s="37" t="s">
        <v>302</v>
      </c>
      <c r="E26" s="35"/>
      <c r="F26" s="35"/>
      <c r="G26" s="35"/>
      <c r="H26" s="35"/>
    </row>
    <row r="27" spans="2:8" ht="25.5" customHeight="1" x14ac:dyDescent="0.25">
      <c r="B27" s="36" t="s">
        <v>29</v>
      </c>
      <c r="C27" s="35"/>
      <c r="D27" s="37" t="s">
        <v>30</v>
      </c>
      <c r="E27" s="35"/>
      <c r="F27" s="35"/>
      <c r="G27" s="35"/>
      <c r="H27" s="35"/>
    </row>
    <row r="28" spans="2:8" ht="25.5" customHeight="1" x14ac:dyDescent="0.25">
      <c r="B28" s="36" t="s">
        <v>31</v>
      </c>
      <c r="C28" s="35"/>
      <c r="D28" s="37" t="s">
        <v>303</v>
      </c>
      <c r="E28" s="35"/>
      <c r="F28" s="35"/>
      <c r="G28" s="35"/>
      <c r="H28" s="35"/>
    </row>
    <row r="29" spans="2:8" ht="25.5" customHeight="1" x14ac:dyDescent="0.25">
      <c r="B29" s="36" t="s">
        <v>32</v>
      </c>
      <c r="C29" s="35"/>
      <c r="D29" s="37" t="s">
        <v>33</v>
      </c>
      <c r="E29" s="35"/>
      <c r="F29" s="35"/>
      <c r="G29" s="35"/>
      <c r="H29" s="35"/>
    </row>
    <row r="30" spans="2:8" ht="25.5" customHeight="1" x14ac:dyDescent="0.25">
      <c r="B30" s="36" t="s">
        <v>34</v>
      </c>
      <c r="C30" s="35"/>
      <c r="D30" s="37" t="s">
        <v>35</v>
      </c>
      <c r="E30" s="35"/>
      <c r="F30" s="35"/>
      <c r="G30" s="35"/>
      <c r="H30" s="35"/>
    </row>
    <row r="31" spans="2:8" ht="25.5" customHeight="1" x14ac:dyDescent="0.25">
      <c r="B31" s="36" t="s">
        <v>36</v>
      </c>
      <c r="C31" s="35"/>
      <c r="D31" s="37" t="s">
        <v>37</v>
      </c>
      <c r="E31" s="35"/>
      <c r="F31" s="35"/>
      <c r="G31" s="35"/>
      <c r="H31" s="35"/>
    </row>
    <row r="32" spans="2:8" ht="25.5" customHeight="1" x14ac:dyDescent="0.25">
      <c r="B32" s="36" t="s">
        <v>38</v>
      </c>
      <c r="C32" s="35"/>
      <c r="D32" s="37" t="s">
        <v>39</v>
      </c>
      <c r="E32" s="35"/>
      <c r="F32" s="35"/>
      <c r="G32" s="35"/>
      <c r="H32" s="35"/>
    </row>
    <row r="33" spans="2:8" ht="25.5" customHeight="1" x14ac:dyDescent="0.25">
      <c r="B33" s="36" t="s">
        <v>40</v>
      </c>
      <c r="C33" s="35"/>
      <c r="D33" s="37" t="s">
        <v>41</v>
      </c>
      <c r="E33" s="35"/>
      <c r="F33" s="35"/>
      <c r="G33" s="35"/>
      <c r="H33" s="35"/>
    </row>
    <row r="34" spans="2:8" ht="25.5" customHeight="1" x14ac:dyDescent="0.25">
      <c r="B34" s="36" t="s">
        <v>42</v>
      </c>
      <c r="C34" s="35"/>
      <c r="D34" s="37" t="s">
        <v>43</v>
      </c>
      <c r="E34" s="35"/>
      <c r="F34" s="35"/>
      <c r="G34" s="35"/>
      <c r="H34" s="35"/>
    </row>
  </sheetData>
  <conditionalFormatting sqref="I8:Z15">
    <cfRule type="expression" dxfId="12" priority="2">
      <formula>AND($C8="A - Tren de rodaje",I$7&gt;=$G8,I$7&lt;=$H8)</formula>
    </cfRule>
    <cfRule type="expression" dxfId="11" priority="3">
      <formula>AND($C8="B - Estructuras y soldadura",I$7&gt;=$G8,I$7&lt;=$H8)</formula>
    </cfRule>
    <cfRule type="expression" dxfId="10" priority="4">
      <formula>AND($C8="C - Climatizacion",I$7&gt;=$G8,I$7&lt;=$H8)</formula>
    </cfRule>
    <cfRule type="expression" dxfId="9" priority="5">
      <formula>AND($C8="Cierre y entrega",I$7&gt;=$G8,I$7&lt;=$H8)</formula>
    </cfRule>
    <cfRule type="expression" dxfId="8" priority="6">
      <formula>AND($A8=1,I$7&gt;=$C$4+1,I$7&lt;=$C$4+5)</formula>
    </cfRule>
    <cfRule type="expression" dxfId="7" priority="7">
      <formula>WEEKDAY(I$7,2)&gt;5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showGridLines="0" zoomScaleNormal="100" workbookViewId="0">
      <selection activeCell="J11" sqref="J11"/>
    </sheetView>
  </sheetViews>
  <sheetFormatPr baseColWidth="10" defaultColWidth="8.7109375" defaultRowHeight="15" x14ac:dyDescent="0.25"/>
  <cols>
    <col min="1" max="1" width="46" customWidth="1"/>
    <col min="2" max="2" width="9" customWidth="1"/>
    <col min="3" max="3" width="13" customWidth="1"/>
    <col min="4" max="4" width="11" customWidth="1"/>
    <col min="5" max="5" width="15" customWidth="1"/>
    <col min="6" max="6" width="14" customWidth="1"/>
    <col min="7" max="7" width="11" customWidth="1"/>
    <col min="8" max="8" width="14" customWidth="1"/>
    <col min="9" max="9" width="45.28515625" bestFit="1" customWidth="1"/>
  </cols>
  <sheetData>
    <row r="1" spans="1:9" ht="16.5" x14ac:dyDescent="0.25">
      <c r="A1" s="26" t="s">
        <v>44</v>
      </c>
    </row>
    <row r="2" spans="1:9" x14ac:dyDescent="0.25">
      <c r="A2" s="27" t="s">
        <v>45</v>
      </c>
    </row>
    <row r="4" spans="1:9" ht="30" customHeight="1" x14ac:dyDescent="0.25">
      <c r="A4" s="7" t="s">
        <v>4</v>
      </c>
      <c r="B4" s="7" t="s">
        <v>46</v>
      </c>
      <c r="C4" s="7" t="s">
        <v>47</v>
      </c>
      <c r="D4" s="7" t="s">
        <v>48</v>
      </c>
      <c r="E4" s="7" t="s">
        <v>49</v>
      </c>
      <c r="F4" s="7" t="s">
        <v>50</v>
      </c>
      <c r="G4" s="7" t="s">
        <v>51</v>
      </c>
      <c r="H4" s="7" t="s">
        <v>52</v>
      </c>
      <c r="I4" s="7" t="s">
        <v>297</v>
      </c>
    </row>
    <row r="5" spans="1:9" x14ac:dyDescent="0.25">
      <c r="A5" s="10" t="s">
        <v>11</v>
      </c>
      <c r="B5" s="9">
        <f>COUNTIFS(BACKLOG!$A:$A,$A5)</f>
        <v>0</v>
      </c>
      <c r="C5" s="9">
        <f>COUNTIFS(BACKLOG!$A:$A,$A5,BACKLOG!$I:$I,"DISPONIBLE")</f>
        <v>0</v>
      </c>
      <c r="D5" s="9">
        <f>COUNTIFS(BACKLOG!$A:$A,$A5,BACKLOG!$I:$I,"PARCIAL")</f>
        <v>0</v>
      </c>
      <c r="E5" s="9">
        <f>COUNTIFS(BACKLOG!$A:$A,$A5,BACKLOG!$I:$I,"SIN EXISTENCIA")</f>
        <v>0</v>
      </c>
      <c r="F5" s="13">
        <f>SUMIFS(BACKLOG!$L:$L,BACKLOG!$A:$A,$A5)</f>
        <v>0</v>
      </c>
      <c r="G5" s="28">
        <f t="shared" ref="G5:G13" si="0">IFERROR(F5/$F$13,0)</f>
        <v>0</v>
      </c>
      <c r="H5" s="9" t="str">
        <f t="shared" ref="H5:H11" si="1">IF(E5&gt;0,"BLOQUEADO",IF(D5&gt;0,"REVISAR","LISTO"))</f>
        <v>LISTO</v>
      </c>
      <c r="I5" s="10"/>
    </row>
    <row r="6" spans="1:9" x14ac:dyDescent="0.25">
      <c r="A6" s="10" t="s">
        <v>13</v>
      </c>
      <c r="B6" s="9">
        <f>COUNTIFS(BACKLOG!$A:$A,$A6)</f>
        <v>11</v>
      </c>
      <c r="C6" s="9">
        <f>COUNTIFS(BACKLOG!$A:$A,$A6,BACKLOG!$I:$I,"DISPONIBLE")</f>
        <v>10</v>
      </c>
      <c r="D6" s="9">
        <f>COUNTIFS(BACKLOG!$A:$A,$A6,BACKLOG!$I:$I,"PARCIAL")</f>
        <v>1</v>
      </c>
      <c r="E6" s="9">
        <f>COUNTIFS(BACKLOG!$A:$A,$A6,BACKLOG!$I:$I,"SIN EXISTENCIA")</f>
        <v>0</v>
      </c>
      <c r="F6" s="13">
        <f>SUMIFS(BACKLOG!$L:$L,BACKLOG!$A:$A,$A6)</f>
        <v>15109.910906147023</v>
      </c>
      <c r="G6" s="28">
        <f t="shared" si="0"/>
        <v>0.33873354266068678</v>
      </c>
      <c r="H6" s="9" t="str">
        <f t="shared" si="1"/>
        <v>REVISAR</v>
      </c>
      <c r="I6" s="10" t="s">
        <v>306</v>
      </c>
    </row>
    <row r="7" spans="1:9" x14ac:dyDescent="0.25">
      <c r="A7" s="10" t="s">
        <v>14</v>
      </c>
      <c r="B7" s="9">
        <f>COUNTIFS(BACKLOG!$A:$A,$A7)</f>
        <v>31</v>
      </c>
      <c r="C7" s="9">
        <f>COUNTIFS(BACKLOG!$A:$A,$A7,BACKLOG!$I:$I,"DISPONIBLE")</f>
        <v>21</v>
      </c>
      <c r="D7" s="9">
        <f>COUNTIFS(BACKLOG!$A:$A,$A7,BACKLOG!$I:$I,"PARCIAL")</f>
        <v>0</v>
      </c>
      <c r="E7" s="9">
        <f>COUNTIFS(BACKLOG!$A:$A,$A7,BACKLOG!$I:$I,"SIN EXISTENCIA")</f>
        <v>10</v>
      </c>
      <c r="F7" s="13">
        <f>SUMIFS(BACKLOG!$L:$L,BACKLOG!$A:$A,$A7)</f>
        <v>12972.20752342024</v>
      </c>
      <c r="G7" s="28">
        <f t="shared" si="0"/>
        <v>0.29081057048126824</v>
      </c>
      <c r="H7" s="9" t="str">
        <f t="shared" si="1"/>
        <v>BLOQUEADO</v>
      </c>
      <c r="I7" s="10" t="s">
        <v>305</v>
      </c>
    </row>
    <row r="8" spans="1:9" x14ac:dyDescent="0.25">
      <c r="A8" s="10" t="s">
        <v>17</v>
      </c>
      <c r="B8" s="9">
        <f>COUNTIFS(BACKLOG!$A:$A,$A8)</f>
        <v>15</v>
      </c>
      <c r="C8" s="9">
        <f>COUNTIFS(BACKLOG!$A:$A,$A8,BACKLOG!$I:$I,"DISPONIBLE")</f>
        <v>15</v>
      </c>
      <c r="D8" s="9">
        <f>COUNTIFS(BACKLOG!$A:$A,$A8,BACKLOG!$I:$I,"PARCIAL")</f>
        <v>0</v>
      </c>
      <c r="E8" s="9">
        <f>COUNTIFS(BACKLOG!$A:$A,$A8,BACKLOG!$I:$I,"SIN EXISTENCIA")</f>
        <v>0</v>
      </c>
      <c r="F8" s="13">
        <f>SUMIFS(BACKLOG!$L:$L,BACKLOG!$A:$A,$A8)</f>
        <v>4700.9900530522127</v>
      </c>
      <c r="G8" s="28">
        <f t="shared" si="0"/>
        <v>0.10538665810631695</v>
      </c>
      <c r="H8" s="9" t="str">
        <f t="shared" si="1"/>
        <v>LISTO</v>
      </c>
      <c r="I8" s="10"/>
    </row>
    <row r="9" spans="1:9" x14ac:dyDescent="0.25">
      <c r="A9" s="10" t="s">
        <v>18</v>
      </c>
      <c r="B9" s="9">
        <f>COUNTIFS(BACKLOG!$A:$A,$A9)</f>
        <v>4</v>
      </c>
      <c r="C9" s="9">
        <f>COUNTIFS(BACKLOG!$A:$A,$A9,BACKLOG!$I:$I,"DISPONIBLE")</f>
        <v>4</v>
      </c>
      <c r="D9" s="9">
        <f>COUNTIFS(BACKLOG!$A:$A,$A9,BACKLOG!$I:$I,"PARCIAL")</f>
        <v>0</v>
      </c>
      <c r="E9" s="9">
        <f>COUNTIFS(BACKLOG!$A:$A,$A9,BACKLOG!$I:$I,"SIN EXISTENCIA")</f>
        <v>0</v>
      </c>
      <c r="F9" s="13">
        <f>SUMIFS(BACKLOG!$L:$L,BACKLOG!$A:$A,$A9)</f>
        <v>0</v>
      </c>
      <c r="G9" s="28">
        <f t="shared" si="0"/>
        <v>0</v>
      </c>
      <c r="H9" s="9" t="str">
        <f t="shared" si="1"/>
        <v>LISTO</v>
      </c>
      <c r="I9" s="10"/>
    </row>
    <row r="10" spans="1:9" x14ac:dyDescent="0.25">
      <c r="A10" s="10" t="s">
        <v>19</v>
      </c>
      <c r="B10" s="9">
        <f>COUNTIFS(BACKLOG!$A:$A,$A10)</f>
        <v>32</v>
      </c>
      <c r="C10" s="9">
        <f>COUNTIFS(BACKLOG!$A:$A,$A10,BACKLOG!$I:$I,"DISPONIBLE")</f>
        <v>32</v>
      </c>
      <c r="D10" s="9">
        <f>COUNTIFS(BACKLOG!$A:$A,$A10,BACKLOG!$I:$I,"PARCIAL")</f>
        <v>0</v>
      </c>
      <c r="E10" s="9">
        <f>COUNTIFS(BACKLOG!$A:$A,$A10,BACKLOG!$I:$I,"SIN EXISTENCIA")</f>
        <v>0</v>
      </c>
      <c r="F10" s="13">
        <f>SUMIFS(BACKLOG!$L:$L,BACKLOG!$A:$A,$A10)</f>
        <v>9229.0946175080499</v>
      </c>
      <c r="G10" s="28">
        <f t="shared" si="0"/>
        <v>0.20689757436408007</v>
      </c>
      <c r="H10" s="9" t="str">
        <f t="shared" si="1"/>
        <v>LISTO</v>
      </c>
      <c r="I10" s="10"/>
    </row>
    <row r="11" spans="1:9" x14ac:dyDescent="0.25">
      <c r="A11" s="10" t="s">
        <v>298</v>
      </c>
      <c r="B11" s="9">
        <f>COUNTIFS(BACKLOG!$A:$A,$A11)</f>
        <v>4</v>
      </c>
      <c r="C11" s="9">
        <f>COUNTIFS(BACKLOG!$A:$A,$A11,BACKLOG!$I:$I,"DISPONIBLE")</f>
        <v>4</v>
      </c>
      <c r="D11" s="9">
        <f>COUNTIFS(BACKLOG!$A:$A,$A11,BACKLOG!$I:$I,"PARCIAL")</f>
        <v>0</v>
      </c>
      <c r="E11" s="9">
        <f>COUNTIFS(BACKLOG!$A:$A,$A11,BACKLOG!$I:$I,"SIN EXISTENCIA")</f>
        <v>0</v>
      </c>
      <c r="F11" s="13">
        <f>SUMIFS(BACKLOG!$L:$L,BACKLOG!$A:$A,$A11)</f>
        <v>2594.8670691316993</v>
      </c>
      <c r="G11" s="28">
        <f t="shared" si="0"/>
        <v>5.8171654387647737E-2</v>
      </c>
      <c r="H11" s="9" t="str">
        <f t="shared" si="1"/>
        <v>LISTO</v>
      </c>
      <c r="I11" s="10"/>
    </row>
    <row r="12" spans="1:9" x14ac:dyDescent="0.25">
      <c r="A12" s="10" t="s">
        <v>299</v>
      </c>
      <c r="B12" s="9">
        <f>COUNTIFS(BACKLOG!$A:$A,$A12)</f>
        <v>1</v>
      </c>
      <c r="C12" s="9">
        <f>COUNTIFS(BACKLOG!$A:$A,$A12,BACKLOG!$I:$I,"DISPONIBLE")</f>
        <v>1</v>
      </c>
      <c r="D12" s="9">
        <f>COUNTIFS(BACKLOG!$A:$A,$A12,BACKLOG!$I:$I,"PARCIAL")</f>
        <v>0</v>
      </c>
      <c r="E12" s="9">
        <f>COUNTIFS(BACKLOG!$A:$A,$A12,BACKLOG!$I:$I,"SIN EXISTENCIA")</f>
        <v>0</v>
      </c>
      <c r="F12" s="13">
        <f>SUMIFS(BACKLOG!$L:$L,BACKLOG!$A:$A,$A12)</f>
        <v>342.43193726569501</v>
      </c>
      <c r="G12" s="28">
        <f t="shared" si="0"/>
        <v>7.6766291972630045E-3</v>
      </c>
      <c r="H12" s="9" t="str">
        <f t="shared" ref="H12" si="2">IF(E12&gt;0,"BLOQUEADO",IF(D12&gt;0,"REVISAR","LISTO"))</f>
        <v>LISTO</v>
      </c>
      <c r="I12" s="10"/>
    </row>
    <row r="13" spans="1:9" x14ac:dyDescent="0.25">
      <c r="A13" s="29" t="s">
        <v>53</v>
      </c>
      <c r="B13" s="17">
        <f>SUM(B5:B11)</f>
        <v>97</v>
      </c>
      <c r="C13" s="17">
        <f>SUM(C5:C11)</f>
        <v>86</v>
      </c>
      <c r="D13" s="17">
        <f>SUM(D5:D11)</f>
        <v>1</v>
      </c>
      <c r="E13" s="17">
        <f>SUM(E5:E11)</f>
        <v>10</v>
      </c>
      <c r="F13" s="30">
        <f>SUM(F5:F11)</f>
        <v>44607.070169259234</v>
      </c>
      <c r="G13" s="31">
        <f t="shared" si="0"/>
        <v>1</v>
      </c>
      <c r="H13" s="17"/>
      <c r="I13" s="17"/>
    </row>
  </sheetData>
  <conditionalFormatting sqref="A12">
    <cfRule type="expression" dxfId="6" priority="1">
      <formula>$I12="SIN EXISTENCIA"</formula>
    </cfRule>
    <cfRule type="expression" dxfId="5" priority="2">
      <formula>$I12="PARCIAL"</formula>
    </cfRule>
  </conditionalFormatting>
  <conditionalFormatting sqref="H5:H12">
    <cfRule type="expression" dxfId="4" priority="4">
      <formula>$H5="BLOQUEADO"</formula>
    </cfRule>
    <cfRule type="expression" dxfId="3" priority="5">
      <formula>$H5="LISTO"</formula>
    </cfRule>
    <cfRule type="expression" dxfId="2" priority="6">
      <formula>$H5="REVISAR"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4"/>
  <sheetViews>
    <sheetView showGridLines="0" tabSelected="1" zoomScaleNormal="100" workbookViewId="0">
      <pane ySplit="1" topLeftCell="A71" activePane="bottomLeft" state="frozen"/>
      <selection pane="bottomLeft" activeCell="K101" sqref="K101"/>
    </sheetView>
  </sheetViews>
  <sheetFormatPr baseColWidth="10" defaultColWidth="8.7109375" defaultRowHeight="15" x14ac:dyDescent="0.25"/>
  <cols>
    <col min="1" max="1" width="40" customWidth="1"/>
    <col min="2" max="2" width="36" customWidth="1"/>
    <col min="3" max="3" width="11" customWidth="1"/>
    <col min="4" max="4" width="13" customWidth="1"/>
    <col min="5" max="5" width="38" customWidth="1"/>
    <col min="6" max="6" width="10" customWidth="1"/>
    <col min="7" max="7" width="18" customWidth="1"/>
    <col min="8" max="8" width="12" customWidth="1"/>
    <col min="9" max="9" width="16" customWidth="1"/>
    <col min="10" max="10" width="20" customWidth="1"/>
    <col min="11" max="11" width="26" customWidth="1"/>
    <col min="12" max="12" width="14" customWidth="1"/>
  </cols>
  <sheetData>
    <row r="1" spans="1:12" ht="30" customHeight="1" x14ac:dyDescent="0.25">
      <c r="A1" s="7" t="s">
        <v>4</v>
      </c>
      <c r="B1" s="7" t="s">
        <v>54</v>
      </c>
      <c r="C1" s="7" t="s">
        <v>55</v>
      </c>
      <c r="D1" s="7" t="s">
        <v>56</v>
      </c>
      <c r="E1" s="7" t="s">
        <v>57</v>
      </c>
      <c r="F1" s="7" t="s">
        <v>58</v>
      </c>
      <c r="G1" s="7" t="s">
        <v>59</v>
      </c>
      <c r="H1" s="7" t="s">
        <v>60</v>
      </c>
      <c r="I1" s="7" t="s">
        <v>61</v>
      </c>
      <c r="J1" s="7" t="s">
        <v>62</v>
      </c>
      <c r="K1" s="7" t="s">
        <v>63</v>
      </c>
      <c r="L1" s="7" t="s">
        <v>50</v>
      </c>
    </row>
    <row r="2" spans="1:12" x14ac:dyDescent="0.25">
      <c r="A2" s="10" t="s">
        <v>300</v>
      </c>
      <c r="B2" s="10" t="s">
        <v>64</v>
      </c>
      <c r="C2" s="41">
        <v>10784</v>
      </c>
      <c r="D2" s="9" t="s">
        <v>65</v>
      </c>
      <c r="E2" s="10" t="s">
        <v>66</v>
      </c>
      <c r="F2" s="9">
        <v>2</v>
      </c>
      <c r="G2" s="10" t="s">
        <v>67</v>
      </c>
      <c r="H2" s="9">
        <v>6</v>
      </c>
      <c r="I2" s="9" t="s">
        <v>68</v>
      </c>
      <c r="J2" s="10" t="s">
        <v>69</v>
      </c>
      <c r="K2" s="10" t="s">
        <v>70</v>
      </c>
      <c r="L2" s="32">
        <v>125.486630461197</v>
      </c>
    </row>
    <row r="3" spans="1:12" x14ac:dyDescent="0.25">
      <c r="A3" s="10" t="s">
        <v>300</v>
      </c>
      <c r="B3" s="10" t="s">
        <v>64</v>
      </c>
      <c r="C3" s="41">
        <v>33882</v>
      </c>
      <c r="D3" s="9" t="s">
        <v>71</v>
      </c>
      <c r="E3" s="10" t="s">
        <v>72</v>
      </c>
      <c r="F3" s="9">
        <v>2</v>
      </c>
      <c r="G3" s="10" t="s">
        <v>73</v>
      </c>
      <c r="H3" s="9">
        <v>5</v>
      </c>
      <c r="I3" s="9" t="s">
        <v>68</v>
      </c>
      <c r="J3" s="10" t="s">
        <v>74</v>
      </c>
      <c r="K3" s="10" t="s">
        <v>70</v>
      </c>
      <c r="L3" s="32">
        <v>177.427554929378</v>
      </c>
    </row>
    <row r="4" spans="1:12" x14ac:dyDescent="0.25">
      <c r="A4" s="10" t="s">
        <v>300</v>
      </c>
      <c r="B4" s="10" t="s">
        <v>64</v>
      </c>
      <c r="C4" s="41">
        <v>15596</v>
      </c>
      <c r="D4" s="9" t="s">
        <v>75</v>
      </c>
      <c r="E4" s="10" t="s">
        <v>76</v>
      </c>
      <c r="F4" s="9">
        <v>2</v>
      </c>
      <c r="G4" s="10" t="s">
        <v>73</v>
      </c>
      <c r="H4" s="9">
        <v>5</v>
      </c>
      <c r="I4" s="9" t="s">
        <v>68</v>
      </c>
      <c r="J4" s="10" t="s">
        <v>77</v>
      </c>
      <c r="K4" s="10" t="s">
        <v>70</v>
      </c>
      <c r="L4" s="32">
        <v>54.831355138528302</v>
      </c>
    </row>
    <row r="5" spans="1:12" x14ac:dyDescent="0.25">
      <c r="A5" s="10" t="s">
        <v>300</v>
      </c>
      <c r="B5" s="10" t="s">
        <v>64</v>
      </c>
      <c r="C5" s="41">
        <v>33883</v>
      </c>
      <c r="D5" s="9" t="s">
        <v>78</v>
      </c>
      <c r="E5" s="10" t="s">
        <v>79</v>
      </c>
      <c r="F5" s="9">
        <v>2</v>
      </c>
      <c r="G5" s="10" t="s">
        <v>67</v>
      </c>
      <c r="H5" s="9">
        <v>6</v>
      </c>
      <c r="I5" s="9" t="s">
        <v>68</v>
      </c>
      <c r="J5" s="10" t="s">
        <v>80</v>
      </c>
      <c r="K5" s="10" t="s">
        <v>70</v>
      </c>
      <c r="L5" s="32">
        <v>456.90757229489702</v>
      </c>
    </row>
    <row r="6" spans="1:12" x14ac:dyDescent="0.25">
      <c r="A6" s="10" t="s">
        <v>13</v>
      </c>
      <c r="B6" s="10" t="s">
        <v>81</v>
      </c>
      <c r="C6" s="41">
        <v>29427</v>
      </c>
      <c r="D6" s="41">
        <v>1311651</v>
      </c>
      <c r="E6" s="10" t="s">
        <v>82</v>
      </c>
      <c r="F6" s="9">
        <v>4</v>
      </c>
      <c r="G6" s="10" t="s">
        <v>83</v>
      </c>
      <c r="H6" s="9">
        <v>46</v>
      </c>
      <c r="I6" s="9" t="s">
        <v>68</v>
      </c>
      <c r="J6" s="10" t="s">
        <v>84</v>
      </c>
      <c r="K6" s="10" t="s">
        <v>70</v>
      </c>
      <c r="L6" s="32">
        <v>153.043744180776</v>
      </c>
    </row>
    <row r="7" spans="1:12" x14ac:dyDescent="0.25">
      <c r="A7" s="10" t="s">
        <v>13</v>
      </c>
      <c r="B7" s="10" t="s">
        <v>81</v>
      </c>
      <c r="C7" s="41">
        <v>51052</v>
      </c>
      <c r="D7" s="41">
        <v>2873293</v>
      </c>
      <c r="E7" s="10" t="s">
        <v>85</v>
      </c>
      <c r="F7" s="9">
        <v>4</v>
      </c>
      <c r="G7" s="40">
        <v>4</v>
      </c>
      <c r="H7" s="9">
        <v>4</v>
      </c>
      <c r="I7" s="9" t="s">
        <v>68</v>
      </c>
      <c r="J7" s="10" t="s">
        <v>86</v>
      </c>
      <c r="K7" s="10" t="s">
        <v>87</v>
      </c>
      <c r="L7" s="32">
        <v>2078.6701725357202</v>
      </c>
    </row>
    <row r="8" spans="1:12" x14ac:dyDescent="0.25">
      <c r="A8" s="10" t="s">
        <v>13</v>
      </c>
      <c r="B8" s="10" t="s">
        <v>81</v>
      </c>
      <c r="C8" s="41">
        <v>11609</v>
      </c>
      <c r="D8" s="9" t="s">
        <v>88</v>
      </c>
      <c r="E8" s="10" t="s">
        <v>89</v>
      </c>
      <c r="F8" s="9">
        <v>8</v>
      </c>
      <c r="G8" s="10" t="s">
        <v>90</v>
      </c>
      <c r="H8" s="9">
        <v>155</v>
      </c>
      <c r="I8" s="9" t="s">
        <v>68</v>
      </c>
      <c r="J8" s="10" t="s">
        <v>91</v>
      </c>
      <c r="K8" s="10" t="s">
        <v>70</v>
      </c>
      <c r="L8" s="32">
        <v>21.026476956556198</v>
      </c>
    </row>
    <row r="9" spans="1:12" x14ac:dyDescent="0.25">
      <c r="A9" s="10" t="s">
        <v>13</v>
      </c>
      <c r="B9" s="10" t="s">
        <v>81</v>
      </c>
      <c r="C9" s="41">
        <v>13801</v>
      </c>
      <c r="D9" s="9" t="s">
        <v>92</v>
      </c>
      <c r="E9" s="10" t="s">
        <v>93</v>
      </c>
      <c r="F9" s="9">
        <v>8</v>
      </c>
      <c r="G9" s="10" t="s">
        <v>94</v>
      </c>
      <c r="H9" s="9">
        <v>88</v>
      </c>
      <c r="I9" s="9" t="s">
        <v>68</v>
      </c>
      <c r="J9" s="10" t="s">
        <v>95</v>
      </c>
      <c r="K9" s="10" t="s">
        <v>70</v>
      </c>
      <c r="L9" s="32">
        <v>45.119770207212198</v>
      </c>
    </row>
    <row r="10" spans="1:12" x14ac:dyDescent="0.25">
      <c r="A10" s="10" t="s">
        <v>13</v>
      </c>
      <c r="B10" s="10" t="s">
        <v>81</v>
      </c>
      <c r="C10" s="41">
        <v>33683</v>
      </c>
      <c r="D10" s="9" t="s">
        <v>96</v>
      </c>
      <c r="E10" s="10" t="s">
        <v>97</v>
      </c>
      <c r="F10" s="9">
        <v>8</v>
      </c>
      <c r="G10" s="40">
        <v>8</v>
      </c>
      <c r="H10" s="9">
        <v>8</v>
      </c>
      <c r="I10" s="9" t="s">
        <v>68</v>
      </c>
      <c r="J10" s="10" t="s">
        <v>98</v>
      </c>
      <c r="K10" s="10" t="s">
        <v>87</v>
      </c>
      <c r="L10" s="32">
        <v>135.16708851773299</v>
      </c>
    </row>
    <row r="11" spans="1:12" x14ac:dyDescent="0.25">
      <c r="A11" s="10" t="s">
        <v>13</v>
      </c>
      <c r="B11" s="10" t="s">
        <v>81</v>
      </c>
      <c r="C11" s="41">
        <v>33684</v>
      </c>
      <c r="D11" s="9" t="s">
        <v>99</v>
      </c>
      <c r="E11" s="10" t="s">
        <v>100</v>
      </c>
      <c r="F11" s="9">
        <v>8</v>
      </c>
      <c r="G11" s="40">
        <v>10</v>
      </c>
      <c r="H11" s="9">
        <v>10</v>
      </c>
      <c r="I11" s="9" t="s">
        <v>68</v>
      </c>
      <c r="J11" s="10" t="s">
        <v>101</v>
      </c>
      <c r="K11" s="10" t="s">
        <v>87</v>
      </c>
      <c r="L11" s="32">
        <v>35.521771064566401</v>
      </c>
    </row>
    <row r="12" spans="1:12" x14ac:dyDescent="0.25">
      <c r="A12" s="10" t="s">
        <v>13</v>
      </c>
      <c r="B12" s="10" t="s">
        <v>102</v>
      </c>
      <c r="C12" s="41">
        <v>29427</v>
      </c>
      <c r="D12" s="41">
        <v>1311651</v>
      </c>
      <c r="E12" s="10" t="s">
        <v>82</v>
      </c>
      <c r="F12" s="9">
        <v>36</v>
      </c>
      <c r="G12" s="10" t="s">
        <v>83</v>
      </c>
      <c r="H12" s="9">
        <v>46</v>
      </c>
      <c r="I12" s="9" t="s">
        <v>68</v>
      </c>
      <c r="J12" s="10" t="s">
        <v>84</v>
      </c>
      <c r="K12" s="10" t="s">
        <v>70</v>
      </c>
      <c r="L12" s="32">
        <v>1377.3936976269899</v>
      </c>
    </row>
    <row r="13" spans="1:12" x14ac:dyDescent="0.25">
      <c r="A13" s="10" t="s">
        <v>13</v>
      </c>
      <c r="B13" s="10" t="s">
        <v>102</v>
      </c>
      <c r="C13" s="41">
        <v>78659</v>
      </c>
      <c r="D13" s="41">
        <v>4197172</v>
      </c>
      <c r="E13" s="10" t="s">
        <v>103</v>
      </c>
      <c r="F13" s="9">
        <v>1</v>
      </c>
      <c r="G13" s="40">
        <v>1</v>
      </c>
      <c r="H13" s="9">
        <v>1</v>
      </c>
      <c r="I13" s="9" t="s">
        <v>68</v>
      </c>
      <c r="J13" s="10" t="s">
        <v>104</v>
      </c>
      <c r="K13" s="10" t="s">
        <v>87</v>
      </c>
      <c r="L13" s="32">
        <v>603.14681782313903</v>
      </c>
    </row>
    <row r="14" spans="1:12" x14ac:dyDescent="0.25">
      <c r="A14" s="10" t="s">
        <v>13</v>
      </c>
      <c r="B14" s="10" t="s">
        <v>102</v>
      </c>
      <c r="C14" s="41">
        <v>95529</v>
      </c>
      <c r="D14" s="41">
        <v>6156356</v>
      </c>
      <c r="E14" s="10" t="s">
        <v>105</v>
      </c>
      <c r="F14" s="9">
        <v>9</v>
      </c>
      <c r="G14" s="40">
        <v>9</v>
      </c>
      <c r="H14" s="9">
        <v>9</v>
      </c>
      <c r="I14" s="9" t="s">
        <v>68</v>
      </c>
      <c r="J14" s="10" t="s">
        <v>106</v>
      </c>
      <c r="K14" s="10" t="s">
        <v>107</v>
      </c>
      <c r="L14" s="32">
        <v>5713.5573922231997</v>
      </c>
    </row>
    <row r="15" spans="1:12" x14ac:dyDescent="0.25">
      <c r="A15" s="10" t="s">
        <v>13</v>
      </c>
      <c r="B15" s="10" t="s">
        <v>102</v>
      </c>
      <c r="C15" s="41">
        <v>95530</v>
      </c>
      <c r="D15" s="41">
        <v>6156360</v>
      </c>
      <c r="E15" s="10" t="s">
        <v>105</v>
      </c>
      <c r="F15" s="9">
        <v>8</v>
      </c>
      <c r="G15" s="40">
        <v>8</v>
      </c>
      <c r="H15" s="9">
        <v>8</v>
      </c>
      <c r="I15" s="9" t="s">
        <v>68</v>
      </c>
      <c r="J15" s="10" t="s">
        <v>106</v>
      </c>
      <c r="K15" s="10" t="s">
        <v>107</v>
      </c>
      <c r="L15" s="32">
        <v>4947.2639750111302</v>
      </c>
    </row>
    <row r="16" spans="1:12" x14ac:dyDescent="0.25">
      <c r="A16" s="10" t="s">
        <v>13</v>
      </c>
      <c r="B16" s="10" t="s">
        <v>102</v>
      </c>
      <c r="C16" s="41">
        <v>754</v>
      </c>
      <c r="D16" s="9" t="s">
        <v>108</v>
      </c>
      <c r="E16" s="10" t="s">
        <v>109</v>
      </c>
      <c r="F16" s="9">
        <v>64</v>
      </c>
      <c r="G16" s="40">
        <v>20</v>
      </c>
      <c r="H16" s="9">
        <v>20</v>
      </c>
      <c r="I16" s="9" t="s">
        <v>110</v>
      </c>
      <c r="J16" s="10" t="s">
        <v>111</v>
      </c>
      <c r="K16" s="10" t="s">
        <v>107</v>
      </c>
      <c r="L16" s="32">
        <v>0</v>
      </c>
    </row>
    <row r="17" spans="1:12" x14ac:dyDescent="0.25">
      <c r="A17" s="10" t="s">
        <v>14</v>
      </c>
      <c r="B17" s="10" t="s">
        <v>112</v>
      </c>
      <c r="C17" s="41">
        <v>35053</v>
      </c>
      <c r="D17" s="9" t="s">
        <v>113</v>
      </c>
      <c r="E17" s="10" t="s">
        <v>114</v>
      </c>
      <c r="F17" s="9">
        <v>8</v>
      </c>
      <c r="G17" s="40">
        <v>8</v>
      </c>
      <c r="H17" s="9">
        <v>8</v>
      </c>
      <c r="I17" s="9" t="s">
        <v>68</v>
      </c>
      <c r="J17" s="10" t="s">
        <v>115</v>
      </c>
      <c r="K17" s="10" t="s">
        <v>87</v>
      </c>
      <c r="L17" s="32">
        <v>352.77124750507198</v>
      </c>
    </row>
    <row r="18" spans="1:12" x14ac:dyDescent="0.25">
      <c r="A18" s="10" t="s">
        <v>14</v>
      </c>
      <c r="B18" s="10" t="s">
        <v>112</v>
      </c>
      <c r="C18" s="9" t="s">
        <v>116</v>
      </c>
      <c r="D18" s="9" t="s">
        <v>117</v>
      </c>
      <c r="E18" s="10" t="s">
        <v>116</v>
      </c>
      <c r="F18" s="9">
        <v>8</v>
      </c>
      <c r="G18" s="10" t="s">
        <v>116</v>
      </c>
      <c r="H18" s="9">
        <v>0</v>
      </c>
      <c r="I18" s="9" t="s">
        <v>49</v>
      </c>
      <c r="J18" s="10" t="s">
        <v>118</v>
      </c>
      <c r="K18" s="10" t="s">
        <v>118</v>
      </c>
      <c r="L18" s="32">
        <v>0</v>
      </c>
    </row>
    <row r="19" spans="1:12" x14ac:dyDescent="0.25">
      <c r="A19" s="10" t="s">
        <v>14</v>
      </c>
      <c r="B19" s="10" t="s">
        <v>112</v>
      </c>
      <c r="C19" s="41">
        <v>25312</v>
      </c>
      <c r="D19" s="9" t="s">
        <v>119</v>
      </c>
      <c r="E19" s="10" t="s">
        <v>120</v>
      </c>
      <c r="F19" s="9">
        <v>1</v>
      </c>
      <c r="G19" s="10" t="s">
        <v>121</v>
      </c>
      <c r="H19" s="9">
        <v>2</v>
      </c>
      <c r="I19" s="9" t="s">
        <v>68</v>
      </c>
      <c r="J19" s="10" t="s">
        <v>122</v>
      </c>
      <c r="K19" s="10" t="s">
        <v>123</v>
      </c>
      <c r="L19" s="32">
        <v>23.276349309065299</v>
      </c>
    </row>
    <row r="20" spans="1:12" x14ac:dyDescent="0.25">
      <c r="A20" s="10" t="s">
        <v>14</v>
      </c>
      <c r="B20" s="10" t="s">
        <v>112</v>
      </c>
      <c r="C20" s="41">
        <v>9874</v>
      </c>
      <c r="D20" s="9" t="s">
        <v>124</v>
      </c>
      <c r="E20" s="10" t="s">
        <v>125</v>
      </c>
      <c r="F20" s="9">
        <v>1</v>
      </c>
      <c r="G20" s="10" t="s">
        <v>126</v>
      </c>
      <c r="H20" s="9">
        <v>8</v>
      </c>
      <c r="I20" s="9" t="s">
        <v>68</v>
      </c>
      <c r="J20" s="10" t="s">
        <v>127</v>
      </c>
      <c r="K20" s="10" t="s">
        <v>70</v>
      </c>
      <c r="L20" s="32">
        <v>0.87346379316464795</v>
      </c>
    </row>
    <row r="21" spans="1:12" x14ac:dyDescent="0.25">
      <c r="A21" s="10" t="s">
        <v>14</v>
      </c>
      <c r="B21" s="10" t="s">
        <v>112</v>
      </c>
      <c r="C21" s="41">
        <v>46786</v>
      </c>
      <c r="D21" s="41">
        <v>3909923</v>
      </c>
      <c r="E21" s="10" t="s">
        <v>128</v>
      </c>
      <c r="F21" s="9">
        <v>1</v>
      </c>
      <c r="G21" s="40">
        <v>1</v>
      </c>
      <c r="H21" s="9">
        <v>1</v>
      </c>
      <c r="I21" s="9" t="s">
        <v>68</v>
      </c>
      <c r="J21" s="10" t="s">
        <v>129</v>
      </c>
      <c r="K21" s="10" t="s">
        <v>130</v>
      </c>
      <c r="L21" s="32">
        <v>8541.8782065459309</v>
      </c>
    </row>
    <row r="22" spans="1:12" x14ac:dyDescent="0.25">
      <c r="A22" s="10" t="s">
        <v>14</v>
      </c>
      <c r="B22" s="10" t="s">
        <v>112</v>
      </c>
      <c r="C22" s="9" t="s">
        <v>116</v>
      </c>
      <c r="D22" s="9" t="s">
        <v>131</v>
      </c>
      <c r="E22" s="10" t="s">
        <v>116</v>
      </c>
      <c r="F22" s="9">
        <v>4</v>
      </c>
      <c r="G22" s="10" t="s">
        <v>116</v>
      </c>
      <c r="H22" s="9">
        <v>0</v>
      </c>
      <c r="I22" s="9" t="s">
        <v>49</v>
      </c>
      <c r="J22" s="10" t="s">
        <v>118</v>
      </c>
      <c r="K22" s="10" t="s">
        <v>118</v>
      </c>
      <c r="L22" s="32">
        <v>0</v>
      </c>
    </row>
    <row r="23" spans="1:12" x14ac:dyDescent="0.25">
      <c r="A23" s="10" t="s">
        <v>14</v>
      </c>
      <c r="B23" s="10" t="s">
        <v>112</v>
      </c>
      <c r="C23" s="41">
        <v>10709</v>
      </c>
      <c r="D23" s="9" t="s">
        <v>132</v>
      </c>
      <c r="E23" s="10" t="s">
        <v>133</v>
      </c>
      <c r="F23" s="9">
        <v>1</v>
      </c>
      <c r="G23" s="10" t="s">
        <v>134</v>
      </c>
      <c r="H23" s="9">
        <v>5</v>
      </c>
      <c r="I23" s="9" t="s">
        <v>68</v>
      </c>
      <c r="J23" s="10" t="s">
        <v>135</v>
      </c>
      <c r="K23" s="10" t="s">
        <v>136</v>
      </c>
      <c r="L23" s="32">
        <v>1.83157084230961</v>
      </c>
    </row>
    <row r="24" spans="1:12" x14ac:dyDescent="0.25">
      <c r="A24" s="10" t="s">
        <v>14</v>
      </c>
      <c r="B24" s="10" t="s">
        <v>112</v>
      </c>
      <c r="C24" s="9" t="s">
        <v>116</v>
      </c>
      <c r="D24" s="9" t="s">
        <v>137</v>
      </c>
      <c r="E24" s="10" t="s">
        <v>116</v>
      </c>
      <c r="F24" s="9">
        <v>1</v>
      </c>
      <c r="G24" s="10" t="s">
        <v>116</v>
      </c>
      <c r="H24" s="9">
        <v>0</v>
      </c>
      <c r="I24" s="9" t="s">
        <v>49</v>
      </c>
      <c r="J24" s="10" t="s">
        <v>118</v>
      </c>
      <c r="K24" s="10" t="s">
        <v>118</v>
      </c>
      <c r="L24" s="32">
        <v>0</v>
      </c>
    </row>
    <row r="25" spans="1:12" x14ac:dyDescent="0.25">
      <c r="A25" s="10" t="s">
        <v>14</v>
      </c>
      <c r="B25" s="10" t="s">
        <v>112</v>
      </c>
      <c r="C25" s="41">
        <v>23163</v>
      </c>
      <c r="D25" s="9" t="s">
        <v>138</v>
      </c>
      <c r="E25" s="10" t="s">
        <v>139</v>
      </c>
      <c r="F25" s="9">
        <v>1</v>
      </c>
      <c r="G25" s="40">
        <v>1</v>
      </c>
      <c r="H25" s="9">
        <v>1</v>
      </c>
      <c r="I25" s="9" t="s">
        <v>68</v>
      </c>
      <c r="J25" s="10" t="s">
        <v>140</v>
      </c>
      <c r="K25" s="10" t="s">
        <v>87</v>
      </c>
      <c r="L25" s="32">
        <v>58.085478766829702</v>
      </c>
    </row>
    <row r="26" spans="1:12" x14ac:dyDescent="0.25">
      <c r="A26" s="10" t="s">
        <v>14</v>
      </c>
      <c r="B26" s="10" t="s">
        <v>112</v>
      </c>
      <c r="C26" s="41">
        <v>32814</v>
      </c>
      <c r="D26" s="9" t="s">
        <v>141</v>
      </c>
      <c r="E26" s="10" t="s">
        <v>142</v>
      </c>
      <c r="F26" s="9">
        <v>1</v>
      </c>
      <c r="G26" s="10" t="s">
        <v>121</v>
      </c>
      <c r="H26" s="9">
        <v>2</v>
      </c>
      <c r="I26" s="9" t="s">
        <v>68</v>
      </c>
      <c r="J26" s="10" t="s">
        <v>143</v>
      </c>
      <c r="K26" s="10" t="s">
        <v>70</v>
      </c>
      <c r="L26" s="32">
        <v>0.59059149253364596</v>
      </c>
    </row>
    <row r="27" spans="1:12" x14ac:dyDescent="0.25">
      <c r="A27" s="10" t="s">
        <v>14</v>
      </c>
      <c r="B27" s="10" t="s">
        <v>112</v>
      </c>
      <c r="C27" s="41">
        <v>87013</v>
      </c>
      <c r="D27" s="9" t="s">
        <v>144</v>
      </c>
      <c r="E27" s="10" t="s">
        <v>145</v>
      </c>
      <c r="F27" s="9">
        <v>15</v>
      </c>
      <c r="G27" s="40">
        <v>21</v>
      </c>
      <c r="H27" s="9">
        <v>21</v>
      </c>
      <c r="I27" s="9" t="s">
        <v>68</v>
      </c>
      <c r="J27" s="10" t="s">
        <v>146</v>
      </c>
      <c r="K27" s="10" t="s">
        <v>87</v>
      </c>
      <c r="L27" s="32">
        <v>26.851025139047</v>
      </c>
    </row>
    <row r="28" spans="1:12" x14ac:dyDescent="0.25">
      <c r="A28" s="10" t="s">
        <v>14</v>
      </c>
      <c r="B28" s="10" t="s">
        <v>112</v>
      </c>
      <c r="C28" s="41">
        <v>35048</v>
      </c>
      <c r="D28" s="9" t="s">
        <v>147</v>
      </c>
      <c r="E28" s="10" t="s">
        <v>148</v>
      </c>
      <c r="F28" s="9">
        <v>1</v>
      </c>
      <c r="G28" s="40">
        <v>1</v>
      </c>
      <c r="H28" s="9">
        <v>1</v>
      </c>
      <c r="I28" s="9" t="s">
        <v>68</v>
      </c>
      <c r="J28" s="10" t="s">
        <v>149</v>
      </c>
      <c r="K28" s="10" t="s">
        <v>87</v>
      </c>
      <c r="L28" s="32">
        <v>2.7304276122683602E-2</v>
      </c>
    </row>
    <row r="29" spans="1:12" x14ac:dyDescent="0.25">
      <c r="A29" s="10" t="s">
        <v>14</v>
      </c>
      <c r="B29" s="10" t="s">
        <v>112</v>
      </c>
      <c r="C29" s="41">
        <v>46787</v>
      </c>
      <c r="D29" s="9" t="s">
        <v>150</v>
      </c>
      <c r="E29" s="10" t="s">
        <v>151</v>
      </c>
      <c r="F29" s="9">
        <v>15</v>
      </c>
      <c r="G29" s="40">
        <v>15</v>
      </c>
      <c r="H29" s="9">
        <v>15</v>
      </c>
      <c r="I29" s="9" t="s">
        <v>68</v>
      </c>
      <c r="J29" s="10" t="s">
        <v>152</v>
      </c>
      <c r="K29" s="10" t="s">
        <v>87</v>
      </c>
      <c r="L29" s="32">
        <v>144.79730670620299</v>
      </c>
    </row>
    <row r="30" spans="1:12" x14ac:dyDescent="0.25">
      <c r="A30" s="10" t="s">
        <v>14</v>
      </c>
      <c r="B30" s="10" t="s">
        <v>112</v>
      </c>
      <c r="C30" s="9" t="s">
        <v>116</v>
      </c>
      <c r="D30" s="9" t="s">
        <v>153</v>
      </c>
      <c r="E30" s="10" t="s">
        <v>116</v>
      </c>
      <c r="F30" s="9">
        <v>1</v>
      </c>
      <c r="G30" s="10" t="s">
        <v>116</v>
      </c>
      <c r="H30" s="9">
        <v>0</v>
      </c>
      <c r="I30" s="9" t="s">
        <v>49</v>
      </c>
      <c r="J30" s="10" t="s">
        <v>118</v>
      </c>
      <c r="K30" s="10" t="s">
        <v>118</v>
      </c>
      <c r="L30" s="32">
        <v>0</v>
      </c>
    </row>
    <row r="31" spans="1:12" x14ac:dyDescent="0.25">
      <c r="A31" s="10" t="s">
        <v>14</v>
      </c>
      <c r="B31" s="10" t="s">
        <v>112</v>
      </c>
      <c r="C31" s="9" t="s">
        <v>116</v>
      </c>
      <c r="D31" s="9" t="s">
        <v>154</v>
      </c>
      <c r="E31" s="10" t="s">
        <v>116</v>
      </c>
      <c r="F31" s="9">
        <v>1</v>
      </c>
      <c r="G31" s="10" t="s">
        <v>116</v>
      </c>
      <c r="H31" s="9">
        <v>0</v>
      </c>
      <c r="I31" s="9" t="s">
        <v>49</v>
      </c>
      <c r="J31" s="10" t="s">
        <v>118</v>
      </c>
      <c r="K31" s="10" t="s">
        <v>118</v>
      </c>
      <c r="L31" s="32">
        <v>0</v>
      </c>
    </row>
    <row r="32" spans="1:12" x14ac:dyDescent="0.25">
      <c r="A32" s="10" t="s">
        <v>14</v>
      </c>
      <c r="B32" s="10" t="s">
        <v>112</v>
      </c>
      <c r="C32" s="41">
        <v>35039</v>
      </c>
      <c r="D32" s="9" t="s">
        <v>155</v>
      </c>
      <c r="E32" s="10" t="s">
        <v>156</v>
      </c>
      <c r="F32" s="9">
        <v>1</v>
      </c>
      <c r="G32" s="40">
        <v>1</v>
      </c>
      <c r="H32" s="9">
        <v>1</v>
      </c>
      <c r="I32" s="9" t="s">
        <v>68</v>
      </c>
      <c r="J32" s="10" t="s">
        <v>157</v>
      </c>
      <c r="K32" s="10" t="s">
        <v>87</v>
      </c>
      <c r="L32" s="32">
        <v>2.7304276122683602E-2</v>
      </c>
    </row>
    <row r="33" spans="1:12" x14ac:dyDescent="0.25">
      <c r="A33" s="10" t="s">
        <v>14</v>
      </c>
      <c r="B33" s="10" t="s">
        <v>112</v>
      </c>
      <c r="C33" s="41">
        <v>35040</v>
      </c>
      <c r="D33" s="9" t="s">
        <v>158</v>
      </c>
      <c r="E33" s="10" t="s">
        <v>159</v>
      </c>
      <c r="F33" s="9">
        <v>1</v>
      </c>
      <c r="G33" s="10" t="s">
        <v>160</v>
      </c>
      <c r="H33" s="9">
        <v>3</v>
      </c>
      <c r="I33" s="9" t="s">
        <v>68</v>
      </c>
      <c r="J33" s="10" t="s">
        <v>161</v>
      </c>
      <c r="K33" s="10" t="s">
        <v>123</v>
      </c>
      <c r="L33" s="32">
        <v>148.22590465892901</v>
      </c>
    </row>
    <row r="34" spans="1:12" x14ac:dyDescent="0.25">
      <c r="A34" s="10" t="s">
        <v>14</v>
      </c>
      <c r="B34" s="10" t="s">
        <v>112</v>
      </c>
      <c r="C34" s="41">
        <v>25400</v>
      </c>
      <c r="D34" s="9" t="s">
        <v>162</v>
      </c>
      <c r="E34" s="10" t="s">
        <v>163</v>
      </c>
      <c r="F34" s="9">
        <v>1</v>
      </c>
      <c r="G34" s="40">
        <v>1</v>
      </c>
      <c r="H34" s="9">
        <v>1</v>
      </c>
      <c r="I34" s="9" t="s">
        <v>68</v>
      </c>
      <c r="J34" s="10" t="s">
        <v>164</v>
      </c>
      <c r="K34" s="10" t="s">
        <v>87</v>
      </c>
      <c r="L34" s="32">
        <v>2.7304276122683602E-2</v>
      </c>
    </row>
    <row r="35" spans="1:12" x14ac:dyDescent="0.25">
      <c r="A35" s="10" t="s">
        <v>14</v>
      </c>
      <c r="B35" s="10" t="s">
        <v>112</v>
      </c>
      <c r="C35" s="41">
        <v>46784</v>
      </c>
      <c r="D35" s="9" t="s">
        <v>165</v>
      </c>
      <c r="E35" s="10" t="s">
        <v>166</v>
      </c>
      <c r="F35" s="9">
        <v>1</v>
      </c>
      <c r="G35" s="40">
        <v>1</v>
      </c>
      <c r="H35" s="9">
        <v>1</v>
      </c>
      <c r="I35" s="9" t="s">
        <v>68</v>
      </c>
      <c r="J35" s="10" t="s">
        <v>115</v>
      </c>
      <c r="K35" s="10" t="s">
        <v>87</v>
      </c>
      <c r="L35" s="32">
        <v>882.31556644086004</v>
      </c>
    </row>
    <row r="36" spans="1:12" x14ac:dyDescent="0.25">
      <c r="A36" s="10" t="s">
        <v>14</v>
      </c>
      <c r="B36" s="10" t="s">
        <v>112</v>
      </c>
      <c r="C36" s="9" t="s">
        <v>116</v>
      </c>
      <c r="D36" s="9" t="s">
        <v>167</v>
      </c>
      <c r="E36" s="10" t="s">
        <v>116</v>
      </c>
      <c r="F36" s="9">
        <v>1</v>
      </c>
      <c r="G36" s="10" t="s">
        <v>116</v>
      </c>
      <c r="H36" s="9">
        <v>0</v>
      </c>
      <c r="I36" s="9" t="s">
        <v>49</v>
      </c>
      <c r="J36" s="10" t="s">
        <v>118</v>
      </c>
      <c r="K36" s="10" t="s">
        <v>118</v>
      </c>
      <c r="L36" s="32">
        <v>0</v>
      </c>
    </row>
    <row r="37" spans="1:12" x14ac:dyDescent="0.25">
      <c r="A37" s="10" t="s">
        <v>14</v>
      </c>
      <c r="B37" s="10" t="s">
        <v>112</v>
      </c>
      <c r="C37" s="41">
        <v>35041</v>
      </c>
      <c r="D37" s="9" t="s">
        <v>168</v>
      </c>
      <c r="E37" s="10" t="s">
        <v>169</v>
      </c>
      <c r="F37" s="9">
        <v>2</v>
      </c>
      <c r="G37" s="40">
        <v>0</v>
      </c>
      <c r="H37" s="9">
        <v>0</v>
      </c>
      <c r="I37" s="9" t="s">
        <v>49</v>
      </c>
      <c r="J37" s="10" t="s">
        <v>170</v>
      </c>
      <c r="K37" s="10" t="s">
        <v>107</v>
      </c>
      <c r="L37" s="32">
        <v>0</v>
      </c>
    </row>
    <row r="38" spans="1:12" x14ac:dyDescent="0.25">
      <c r="A38" s="10" t="s">
        <v>14</v>
      </c>
      <c r="B38" s="10" t="s">
        <v>112</v>
      </c>
      <c r="C38" s="41">
        <v>35042</v>
      </c>
      <c r="D38" s="9" t="s">
        <v>171</v>
      </c>
      <c r="E38" s="10" t="s">
        <v>172</v>
      </c>
      <c r="F38" s="9">
        <v>8</v>
      </c>
      <c r="G38" s="40">
        <v>16</v>
      </c>
      <c r="H38" s="9">
        <v>16</v>
      </c>
      <c r="I38" s="9" t="s">
        <v>68</v>
      </c>
      <c r="J38" s="10" t="s">
        <v>115</v>
      </c>
      <c r="K38" s="10" t="s">
        <v>87</v>
      </c>
      <c r="L38" s="32">
        <v>835.59385435352999</v>
      </c>
    </row>
    <row r="39" spans="1:12" x14ac:dyDescent="0.25">
      <c r="A39" s="10" t="s">
        <v>14</v>
      </c>
      <c r="B39" s="10" t="s">
        <v>112</v>
      </c>
      <c r="C39" s="41">
        <v>35043</v>
      </c>
      <c r="D39" s="9" t="s">
        <v>173</v>
      </c>
      <c r="E39" s="10" t="s">
        <v>174</v>
      </c>
      <c r="F39" s="9">
        <v>8</v>
      </c>
      <c r="G39" s="40">
        <v>8</v>
      </c>
      <c r="H39" s="9">
        <v>8</v>
      </c>
      <c r="I39" s="9" t="s">
        <v>68</v>
      </c>
      <c r="J39" s="10" t="s">
        <v>115</v>
      </c>
      <c r="K39" s="10" t="s">
        <v>87</v>
      </c>
      <c r="L39" s="32">
        <v>545.535068247038</v>
      </c>
    </row>
    <row r="40" spans="1:12" x14ac:dyDescent="0.25">
      <c r="A40" s="10" t="s">
        <v>14</v>
      </c>
      <c r="B40" s="10" t="s">
        <v>112</v>
      </c>
      <c r="C40" s="41">
        <v>24741</v>
      </c>
      <c r="D40" s="9" t="s">
        <v>175</v>
      </c>
      <c r="E40" s="10" t="s">
        <v>176</v>
      </c>
      <c r="F40" s="9">
        <v>1</v>
      </c>
      <c r="G40" s="40">
        <v>1</v>
      </c>
      <c r="H40" s="9">
        <v>1</v>
      </c>
      <c r="I40" s="9" t="s">
        <v>68</v>
      </c>
      <c r="J40" s="10" t="s">
        <v>115</v>
      </c>
      <c r="K40" s="10" t="s">
        <v>87</v>
      </c>
      <c r="L40" s="32">
        <v>61.175776738395001</v>
      </c>
    </row>
    <row r="41" spans="1:12" x14ac:dyDescent="0.25">
      <c r="A41" s="10" t="s">
        <v>14</v>
      </c>
      <c r="B41" s="10" t="s">
        <v>112</v>
      </c>
      <c r="C41" s="9" t="s">
        <v>116</v>
      </c>
      <c r="D41" s="9" t="s">
        <v>177</v>
      </c>
      <c r="E41" s="10" t="s">
        <v>116</v>
      </c>
      <c r="F41" s="9">
        <v>1</v>
      </c>
      <c r="G41" s="10" t="s">
        <v>116</v>
      </c>
      <c r="H41" s="9">
        <v>0</v>
      </c>
      <c r="I41" s="9" t="s">
        <v>49</v>
      </c>
      <c r="J41" s="10" t="s">
        <v>118</v>
      </c>
      <c r="K41" s="10" t="s">
        <v>118</v>
      </c>
      <c r="L41" s="32">
        <v>0</v>
      </c>
    </row>
    <row r="42" spans="1:12" x14ac:dyDescent="0.25">
      <c r="A42" s="10" t="s">
        <v>14</v>
      </c>
      <c r="B42" s="10" t="s">
        <v>112</v>
      </c>
      <c r="C42" s="9" t="s">
        <v>116</v>
      </c>
      <c r="D42" s="9" t="s">
        <v>178</v>
      </c>
      <c r="E42" s="10" t="s">
        <v>116</v>
      </c>
      <c r="F42" s="9">
        <v>4</v>
      </c>
      <c r="G42" s="10" t="s">
        <v>116</v>
      </c>
      <c r="H42" s="9">
        <v>0</v>
      </c>
      <c r="I42" s="9" t="s">
        <v>49</v>
      </c>
      <c r="J42" s="10" t="s">
        <v>118</v>
      </c>
      <c r="K42" s="10" t="s">
        <v>118</v>
      </c>
      <c r="L42" s="32">
        <v>0</v>
      </c>
    </row>
    <row r="43" spans="1:12" x14ac:dyDescent="0.25">
      <c r="A43" s="10" t="s">
        <v>14</v>
      </c>
      <c r="B43" s="10" t="s">
        <v>112</v>
      </c>
      <c r="C43" s="41">
        <v>25404</v>
      </c>
      <c r="D43" s="9" t="s">
        <v>179</v>
      </c>
      <c r="E43" s="10" t="s">
        <v>180</v>
      </c>
      <c r="F43" s="9">
        <v>1</v>
      </c>
      <c r="G43" s="40">
        <v>6</v>
      </c>
      <c r="H43" s="9">
        <v>6</v>
      </c>
      <c r="I43" s="9" t="s">
        <v>68</v>
      </c>
      <c r="J43" s="10" t="s">
        <v>181</v>
      </c>
      <c r="K43" s="10" t="s">
        <v>87</v>
      </c>
      <c r="L43" s="32">
        <v>2.7304276122683602E-2</v>
      </c>
    </row>
    <row r="44" spans="1:12" x14ac:dyDescent="0.25">
      <c r="A44" s="10" t="s">
        <v>14</v>
      </c>
      <c r="B44" s="10" t="s">
        <v>112</v>
      </c>
      <c r="C44" s="41">
        <v>15463</v>
      </c>
      <c r="D44" s="9" t="s">
        <v>182</v>
      </c>
      <c r="E44" s="10" t="s">
        <v>183</v>
      </c>
      <c r="F44" s="9">
        <v>1</v>
      </c>
      <c r="G44" s="10" t="s">
        <v>121</v>
      </c>
      <c r="H44" s="9">
        <v>2</v>
      </c>
      <c r="I44" s="9" t="s">
        <v>68</v>
      </c>
      <c r="J44" s="10" t="s">
        <v>184</v>
      </c>
      <c r="K44" s="10" t="s">
        <v>70</v>
      </c>
      <c r="L44" s="32">
        <v>21.655840521184</v>
      </c>
    </row>
    <row r="45" spans="1:12" x14ac:dyDescent="0.25">
      <c r="A45" s="10" t="s">
        <v>14</v>
      </c>
      <c r="B45" s="10" t="s">
        <v>112</v>
      </c>
      <c r="C45" s="41">
        <v>6657</v>
      </c>
      <c r="D45" s="9" t="s">
        <v>185</v>
      </c>
      <c r="E45" s="10" t="s">
        <v>186</v>
      </c>
      <c r="F45" s="9">
        <v>1</v>
      </c>
      <c r="G45" s="40">
        <v>3</v>
      </c>
      <c r="H45" s="9">
        <v>3</v>
      </c>
      <c r="I45" s="9" t="s">
        <v>68</v>
      </c>
      <c r="J45" s="10" t="s">
        <v>187</v>
      </c>
      <c r="K45" s="10" t="s">
        <v>87</v>
      </c>
      <c r="L45" s="32">
        <v>6.8058638663401103</v>
      </c>
    </row>
    <row r="46" spans="1:12" x14ac:dyDescent="0.25">
      <c r="A46" s="10" t="s">
        <v>14</v>
      </c>
      <c r="B46" s="10" t="s">
        <v>112</v>
      </c>
      <c r="C46" s="9" t="s">
        <v>116</v>
      </c>
      <c r="D46" s="9" t="s">
        <v>188</v>
      </c>
      <c r="E46" s="10" t="s">
        <v>116</v>
      </c>
      <c r="F46" s="9">
        <v>1</v>
      </c>
      <c r="G46" s="10" t="s">
        <v>116</v>
      </c>
      <c r="H46" s="9">
        <v>0</v>
      </c>
      <c r="I46" s="9" t="s">
        <v>49</v>
      </c>
      <c r="J46" s="10" t="s">
        <v>118</v>
      </c>
      <c r="K46" s="10" t="s">
        <v>118</v>
      </c>
      <c r="L46" s="32">
        <v>0</v>
      </c>
    </row>
    <row r="47" spans="1:12" x14ac:dyDescent="0.25">
      <c r="A47" s="10" t="s">
        <v>14</v>
      </c>
      <c r="B47" s="10" t="s">
        <v>112</v>
      </c>
      <c r="C47" s="41">
        <v>35046</v>
      </c>
      <c r="D47" s="9" t="s">
        <v>189</v>
      </c>
      <c r="E47" s="10" t="s">
        <v>190</v>
      </c>
      <c r="F47" s="9">
        <v>4</v>
      </c>
      <c r="G47" s="40">
        <v>4</v>
      </c>
      <c r="H47" s="9">
        <v>4</v>
      </c>
      <c r="I47" s="9" t="s">
        <v>68</v>
      </c>
      <c r="J47" s="10" t="s">
        <v>115</v>
      </c>
      <c r="K47" s="10" t="s">
        <v>87</v>
      </c>
      <c r="L47" s="32">
        <v>1319.83519138932</v>
      </c>
    </row>
    <row r="48" spans="1:12" x14ac:dyDescent="0.25">
      <c r="A48" s="10" t="s">
        <v>17</v>
      </c>
      <c r="B48" s="10" t="s">
        <v>191</v>
      </c>
      <c r="C48" s="41">
        <v>8099</v>
      </c>
      <c r="D48" s="41">
        <v>1174013</v>
      </c>
      <c r="E48" s="10" t="s">
        <v>192</v>
      </c>
      <c r="F48" s="9">
        <v>2</v>
      </c>
      <c r="G48" s="10" t="s">
        <v>193</v>
      </c>
      <c r="H48" s="9">
        <v>4</v>
      </c>
      <c r="I48" s="9" t="s">
        <v>68</v>
      </c>
      <c r="J48" s="10" t="s">
        <v>194</v>
      </c>
      <c r="K48" s="10" t="s">
        <v>70</v>
      </c>
      <c r="L48" s="32">
        <v>351.34487212042302</v>
      </c>
    </row>
    <row r="49" spans="1:12" x14ac:dyDescent="0.25">
      <c r="A49" s="10" t="s">
        <v>17</v>
      </c>
      <c r="B49" s="10" t="s">
        <v>191</v>
      </c>
      <c r="C49" s="41">
        <v>44607</v>
      </c>
      <c r="D49" s="41">
        <v>1303139</v>
      </c>
      <c r="E49" s="10" t="s">
        <v>195</v>
      </c>
      <c r="F49" s="9">
        <v>2</v>
      </c>
      <c r="G49" s="10" t="s">
        <v>193</v>
      </c>
      <c r="H49" s="9">
        <v>4</v>
      </c>
      <c r="I49" s="9" t="s">
        <v>68</v>
      </c>
      <c r="J49" s="10" t="s">
        <v>196</v>
      </c>
      <c r="K49" s="10" t="s">
        <v>70</v>
      </c>
      <c r="L49" s="32">
        <v>50.385672900232898</v>
      </c>
    </row>
    <row r="50" spans="1:12" x14ac:dyDescent="0.25">
      <c r="A50" s="10" t="s">
        <v>17</v>
      </c>
      <c r="B50" s="10" t="s">
        <v>191</v>
      </c>
      <c r="C50" s="41">
        <v>23920</v>
      </c>
      <c r="D50" s="9" t="s">
        <v>197</v>
      </c>
      <c r="E50" s="10" t="s">
        <v>198</v>
      </c>
      <c r="F50" s="9">
        <v>2</v>
      </c>
      <c r="G50" s="40">
        <v>28</v>
      </c>
      <c r="H50" s="9">
        <v>28</v>
      </c>
      <c r="I50" s="9" t="s">
        <v>68</v>
      </c>
      <c r="J50" s="10" t="s">
        <v>199</v>
      </c>
      <c r="K50" s="10" t="s">
        <v>87</v>
      </c>
      <c r="L50" s="32">
        <v>0.36587730004396002</v>
      </c>
    </row>
    <row r="51" spans="1:12" x14ac:dyDescent="0.25">
      <c r="A51" s="10" t="s">
        <v>17</v>
      </c>
      <c r="B51" s="10" t="s">
        <v>191</v>
      </c>
      <c r="C51" s="41">
        <v>25314</v>
      </c>
      <c r="D51" s="9" t="s">
        <v>200</v>
      </c>
      <c r="E51" s="10" t="s">
        <v>201</v>
      </c>
      <c r="F51" s="9">
        <v>4</v>
      </c>
      <c r="G51" s="10" t="s">
        <v>202</v>
      </c>
      <c r="H51" s="9">
        <v>16</v>
      </c>
      <c r="I51" s="9" t="s">
        <v>68</v>
      </c>
      <c r="J51" s="10" t="s">
        <v>203</v>
      </c>
      <c r="K51" s="10" t="s">
        <v>70</v>
      </c>
      <c r="L51" s="32">
        <v>32.2671013507425</v>
      </c>
    </row>
    <row r="52" spans="1:12" x14ac:dyDescent="0.25">
      <c r="A52" s="10" t="s">
        <v>17</v>
      </c>
      <c r="B52" s="10" t="s">
        <v>191</v>
      </c>
      <c r="C52" s="41">
        <v>14263</v>
      </c>
      <c r="D52" s="9" t="s">
        <v>204</v>
      </c>
      <c r="E52" s="10" t="s">
        <v>205</v>
      </c>
      <c r="F52" s="9">
        <v>1</v>
      </c>
      <c r="G52" s="10" t="s">
        <v>121</v>
      </c>
      <c r="H52" s="9">
        <v>2</v>
      </c>
      <c r="I52" s="9" t="s">
        <v>68</v>
      </c>
      <c r="J52" s="10" t="s">
        <v>206</v>
      </c>
      <c r="K52" s="10" t="s">
        <v>70</v>
      </c>
      <c r="L52" s="32">
        <v>31.063255816493399</v>
      </c>
    </row>
    <row r="53" spans="1:12" x14ac:dyDescent="0.25">
      <c r="A53" s="10" t="s">
        <v>17</v>
      </c>
      <c r="B53" s="10" t="s">
        <v>191</v>
      </c>
      <c r="C53" s="41">
        <v>44608</v>
      </c>
      <c r="D53" s="9" t="s">
        <v>207</v>
      </c>
      <c r="E53" s="10" t="s">
        <v>208</v>
      </c>
      <c r="F53" s="9">
        <v>1</v>
      </c>
      <c r="G53" s="10" t="s">
        <v>121</v>
      </c>
      <c r="H53" s="9">
        <v>2</v>
      </c>
      <c r="I53" s="9" t="s">
        <v>68</v>
      </c>
      <c r="J53" s="10" t="s">
        <v>206</v>
      </c>
      <c r="K53" s="10" t="s">
        <v>70</v>
      </c>
      <c r="L53" s="32">
        <v>21.417201147871801</v>
      </c>
    </row>
    <row r="54" spans="1:12" x14ac:dyDescent="0.25">
      <c r="A54" s="10" t="s">
        <v>17</v>
      </c>
      <c r="B54" s="10" t="s">
        <v>191</v>
      </c>
      <c r="C54" s="41">
        <v>15630</v>
      </c>
      <c r="D54" s="9" t="s">
        <v>209</v>
      </c>
      <c r="E54" s="10" t="s">
        <v>210</v>
      </c>
      <c r="F54" s="9">
        <v>4</v>
      </c>
      <c r="G54" s="40">
        <v>4</v>
      </c>
      <c r="H54" s="9">
        <v>4</v>
      </c>
      <c r="I54" s="9" t="s">
        <v>68</v>
      </c>
      <c r="J54" s="10" t="s">
        <v>211</v>
      </c>
      <c r="K54" s="10" t="s">
        <v>107</v>
      </c>
      <c r="L54" s="32">
        <v>1128.7358393198001</v>
      </c>
    </row>
    <row r="55" spans="1:12" x14ac:dyDescent="0.25">
      <c r="A55" s="10" t="s">
        <v>17</v>
      </c>
      <c r="B55" s="10" t="s">
        <v>212</v>
      </c>
      <c r="C55" s="41">
        <v>2154</v>
      </c>
      <c r="D55" s="41">
        <v>2195735</v>
      </c>
      <c r="E55" s="10" t="s">
        <v>213</v>
      </c>
      <c r="F55" s="9">
        <v>2</v>
      </c>
      <c r="G55" s="10" t="s">
        <v>67</v>
      </c>
      <c r="H55" s="9">
        <v>6</v>
      </c>
      <c r="I55" s="9" t="s">
        <v>68</v>
      </c>
      <c r="J55" s="10" t="s">
        <v>214</v>
      </c>
      <c r="K55" s="10" t="s">
        <v>70</v>
      </c>
      <c r="L55" s="32">
        <v>556.22032366488895</v>
      </c>
    </row>
    <row r="56" spans="1:12" x14ac:dyDescent="0.25">
      <c r="A56" s="10" t="s">
        <v>17</v>
      </c>
      <c r="B56" s="10" t="s">
        <v>212</v>
      </c>
      <c r="C56" s="41">
        <v>45239</v>
      </c>
      <c r="D56" s="41">
        <v>2195743</v>
      </c>
      <c r="E56" s="10" t="s">
        <v>215</v>
      </c>
      <c r="F56" s="9">
        <v>1</v>
      </c>
      <c r="G56" s="10" t="s">
        <v>121</v>
      </c>
      <c r="H56" s="9">
        <v>2</v>
      </c>
      <c r="I56" s="9" t="s">
        <v>68</v>
      </c>
      <c r="J56" s="10" t="s">
        <v>216</v>
      </c>
      <c r="K56" s="10" t="s">
        <v>70</v>
      </c>
      <c r="L56" s="32">
        <v>218.76213333770201</v>
      </c>
    </row>
    <row r="57" spans="1:12" x14ac:dyDescent="0.25">
      <c r="A57" s="10" t="s">
        <v>17</v>
      </c>
      <c r="B57" s="10" t="s">
        <v>212</v>
      </c>
      <c r="C57" s="41">
        <v>10782</v>
      </c>
      <c r="D57" s="9" t="s">
        <v>217</v>
      </c>
      <c r="E57" s="10" t="s">
        <v>218</v>
      </c>
      <c r="F57" s="9">
        <v>2</v>
      </c>
      <c r="G57" s="10" t="s">
        <v>219</v>
      </c>
      <c r="H57" s="9">
        <v>14</v>
      </c>
      <c r="I57" s="9" t="s">
        <v>68</v>
      </c>
      <c r="J57" s="10" t="s">
        <v>220</v>
      </c>
      <c r="K57" s="10" t="s">
        <v>221</v>
      </c>
      <c r="L57" s="32">
        <v>19.624129334895098</v>
      </c>
    </row>
    <row r="58" spans="1:12" x14ac:dyDescent="0.25">
      <c r="A58" s="10" t="s">
        <v>17</v>
      </c>
      <c r="B58" s="10" t="s">
        <v>212</v>
      </c>
      <c r="C58" s="41">
        <v>45373</v>
      </c>
      <c r="D58" s="9" t="s">
        <v>222</v>
      </c>
      <c r="E58" s="10" t="s">
        <v>223</v>
      </c>
      <c r="F58" s="9">
        <v>2</v>
      </c>
      <c r="G58" s="40">
        <v>2</v>
      </c>
      <c r="H58" s="9">
        <v>2</v>
      </c>
      <c r="I58" s="9" t="s">
        <v>68</v>
      </c>
      <c r="J58" s="10" t="s">
        <v>224</v>
      </c>
      <c r="K58" s="10" t="s">
        <v>87</v>
      </c>
      <c r="L58" s="32">
        <v>1059.6636659267199</v>
      </c>
    </row>
    <row r="59" spans="1:12" x14ac:dyDescent="0.25">
      <c r="A59" s="10" t="s">
        <v>17</v>
      </c>
      <c r="B59" s="10" t="s">
        <v>212</v>
      </c>
      <c r="C59" s="41">
        <v>45374</v>
      </c>
      <c r="D59" s="9" t="s">
        <v>225</v>
      </c>
      <c r="E59" s="10" t="s">
        <v>226</v>
      </c>
      <c r="F59" s="9">
        <v>2</v>
      </c>
      <c r="G59" s="40">
        <v>2</v>
      </c>
      <c r="H59" s="9">
        <v>2</v>
      </c>
      <c r="I59" s="9" t="s">
        <v>68</v>
      </c>
      <c r="J59" s="10" t="s">
        <v>224</v>
      </c>
      <c r="K59" s="10" t="s">
        <v>87</v>
      </c>
      <c r="L59" s="32">
        <v>959.93534347414197</v>
      </c>
    </row>
    <row r="60" spans="1:12" x14ac:dyDescent="0.25">
      <c r="A60" s="10" t="s">
        <v>17</v>
      </c>
      <c r="B60" s="10" t="s">
        <v>212</v>
      </c>
      <c r="C60" s="41">
        <v>14955</v>
      </c>
      <c r="D60" s="9" t="s">
        <v>227</v>
      </c>
      <c r="E60" s="10" t="s">
        <v>228</v>
      </c>
      <c r="F60" s="9">
        <v>4</v>
      </c>
      <c r="G60" s="10" t="s">
        <v>229</v>
      </c>
      <c r="H60" s="9">
        <v>8</v>
      </c>
      <c r="I60" s="9" t="s">
        <v>68</v>
      </c>
      <c r="J60" s="10" t="s">
        <v>230</v>
      </c>
      <c r="K60" s="10" t="s">
        <v>70</v>
      </c>
      <c r="L60" s="32">
        <v>24.810849627160099</v>
      </c>
    </row>
    <row r="61" spans="1:12" x14ac:dyDescent="0.25">
      <c r="A61" s="10" t="s">
        <v>17</v>
      </c>
      <c r="B61" s="10" t="s">
        <v>212</v>
      </c>
      <c r="C61" s="41">
        <v>45378</v>
      </c>
      <c r="D61" s="9" t="s">
        <v>231</v>
      </c>
      <c r="E61" s="10" t="s">
        <v>232</v>
      </c>
      <c r="F61" s="9">
        <v>4</v>
      </c>
      <c r="G61" s="10" t="s">
        <v>134</v>
      </c>
      <c r="H61" s="9">
        <v>5</v>
      </c>
      <c r="I61" s="9" t="s">
        <v>68</v>
      </c>
      <c r="J61" s="10" t="s">
        <v>233</v>
      </c>
      <c r="K61" s="10" t="s">
        <v>70</v>
      </c>
      <c r="L61" s="32">
        <v>201.374497260016</v>
      </c>
    </row>
    <row r="62" spans="1:12" x14ac:dyDescent="0.25">
      <c r="A62" s="10" t="s">
        <v>17</v>
      </c>
      <c r="B62" s="10" t="s">
        <v>212</v>
      </c>
      <c r="C62" s="41">
        <v>28535</v>
      </c>
      <c r="D62" s="9" t="s">
        <v>234</v>
      </c>
      <c r="E62" s="10" t="s">
        <v>235</v>
      </c>
      <c r="F62" s="9">
        <v>8</v>
      </c>
      <c r="G62" s="10" t="s">
        <v>236</v>
      </c>
      <c r="H62" s="9">
        <v>50</v>
      </c>
      <c r="I62" s="9" t="s">
        <v>68</v>
      </c>
      <c r="J62" s="10" t="s">
        <v>237</v>
      </c>
      <c r="K62" s="10" t="s">
        <v>70</v>
      </c>
      <c r="L62" s="32">
        <v>45.019290471080701</v>
      </c>
    </row>
    <row r="63" spans="1:12" x14ac:dyDescent="0.25">
      <c r="A63" s="10" t="s">
        <v>18</v>
      </c>
      <c r="B63" s="10" t="s">
        <v>238</v>
      </c>
      <c r="C63" s="41">
        <v>96014</v>
      </c>
      <c r="D63" s="41">
        <v>2220827</v>
      </c>
      <c r="E63" s="10" t="s">
        <v>239</v>
      </c>
      <c r="F63" s="9">
        <v>1</v>
      </c>
      <c r="G63" s="40">
        <v>1</v>
      </c>
      <c r="H63" s="9">
        <v>1</v>
      </c>
      <c r="I63" s="9" t="s">
        <v>68</v>
      </c>
      <c r="J63" s="10" t="s">
        <v>240</v>
      </c>
      <c r="K63" s="10" t="s">
        <v>240</v>
      </c>
      <c r="L63" s="32">
        <v>0</v>
      </c>
    </row>
    <row r="64" spans="1:12" x14ac:dyDescent="0.25">
      <c r="A64" s="10" t="s">
        <v>18</v>
      </c>
      <c r="B64" s="10" t="s">
        <v>238</v>
      </c>
      <c r="C64" s="41">
        <v>96017</v>
      </c>
      <c r="D64" s="41">
        <v>4257961</v>
      </c>
      <c r="E64" s="10" t="s">
        <v>241</v>
      </c>
      <c r="F64" s="9">
        <v>1</v>
      </c>
      <c r="G64" s="40">
        <v>1</v>
      </c>
      <c r="H64" s="9">
        <v>1</v>
      </c>
      <c r="I64" s="9" t="s">
        <v>68</v>
      </c>
      <c r="J64" s="10" t="s">
        <v>240</v>
      </c>
      <c r="K64" s="10" t="s">
        <v>240</v>
      </c>
      <c r="L64" s="32">
        <v>0</v>
      </c>
    </row>
    <row r="65" spans="1:12" x14ac:dyDescent="0.25">
      <c r="A65" s="10" t="s">
        <v>18</v>
      </c>
      <c r="B65" s="10" t="s">
        <v>238</v>
      </c>
      <c r="C65" s="41">
        <v>96015</v>
      </c>
      <c r="D65" s="9" t="s">
        <v>242</v>
      </c>
      <c r="E65" s="10" t="s">
        <v>239</v>
      </c>
      <c r="F65" s="9">
        <v>1</v>
      </c>
      <c r="G65" s="40">
        <v>1</v>
      </c>
      <c r="H65" s="9">
        <v>1</v>
      </c>
      <c r="I65" s="9" t="s">
        <v>68</v>
      </c>
      <c r="J65" s="10" t="s">
        <v>240</v>
      </c>
      <c r="K65" s="10" t="s">
        <v>240</v>
      </c>
      <c r="L65" s="32">
        <v>0</v>
      </c>
    </row>
    <row r="66" spans="1:12" x14ac:dyDescent="0.25">
      <c r="A66" s="10" t="s">
        <v>18</v>
      </c>
      <c r="B66" s="10" t="s">
        <v>238</v>
      </c>
      <c r="C66" s="41">
        <v>96016</v>
      </c>
      <c r="D66" s="9" t="s">
        <v>243</v>
      </c>
      <c r="E66" s="10" t="s">
        <v>239</v>
      </c>
      <c r="F66" s="9">
        <v>1</v>
      </c>
      <c r="G66" s="40">
        <v>1</v>
      </c>
      <c r="H66" s="9">
        <v>1</v>
      </c>
      <c r="I66" s="9" t="s">
        <v>68</v>
      </c>
      <c r="J66" s="10" t="s">
        <v>240</v>
      </c>
      <c r="K66" s="10" t="s">
        <v>240</v>
      </c>
      <c r="L66" s="32">
        <v>0</v>
      </c>
    </row>
    <row r="67" spans="1:12" x14ac:dyDescent="0.25">
      <c r="A67" s="10" t="s">
        <v>19</v>
      </c>
      <c r="B67" s="10" t="s">
        <v>244</v>
      </c>
      <c r="C67" s="41">
        <v>48977</v>
      </c>
      <c r="D67" s="41">
        <v>1013129</v>
      </c>
      <c r="E67" s="10" t="s">
        <v>245</v>
      </c>
      <c r="F67" s="9">
        <v>2</v>
      </c>
      <c r="G67" s="40">
        <v>2</v>
      </c>
      <c r="H67" s="9">
        <v>2</v>
      </c>
      <c r="I67" s="9" t="s">
        <v>68</v>
      </c>
      <c r="J67" s="10" t="s">
        <v>246</v>
      </c>
      <c r="K67" s="10" t="s">
        <v>87</v>
      </c>
      <c r="L67" s="32">
        <v>32.688679374076798</v>
      </c>
    </row>
    <row r="68" spans="1:12" x14ac:dyDescent="0.25">
      <c r="A68" s="10" t="s">
        <v>19</v>
      </c>
      <c r="B68" s="10" t="s">
        <v>244</v>
      </c>
      <c r="C68" s="41">
        <v>49148</v>
      </c>
      <c r="D68" s="41">
        <v>1018296</v>
      </c>
      <c r="E68" s="10" t="s">
        <v>247</v>
      </c>
      <c r="F68" s="9">
        <v>2</v>
      </c>
      <c r="G68" s="40">
        <v>2</v>
      </c>
      <c r="H68" s="9">
        <v>2</v>
      </c>
      <c r="I68" s="9" t="s">
        <v>68</v>
      </c>
      <c r="J68" s="10" t="s">
        <v>246</v>
      </c>
      <c r="K68" s="10" t="s">
        <v>87</v>
      </c>
      <c r="L68" s="32">
        <v>127.399021960829</v>
      </c>
    </row>
    <row r="69" spans="1:12" x14ac:dyDescent="0.25">
      <c r="A69" s="10" t="s">
        <v>19</v>
      </c>
      <c r="B69" s="10" t="s">
        <v>244</v>
      </c>
      <c r="C69" s="41">
        <v>49014</v>
      </c>
      <c r="D69" s="41">
        <v>1195916</v>
      </c>
      <c r="E69" s="10" t="s">
        <v>248</v>
      </c>
      <c r="F69" s="9">
        <v>1</v>
      </c>
      <c r="G69" s="40">
        <v>1</v>
      </c>
      <c r="H69" s="9">
        <v>1</v>
      </c>
      <c r="I69" s="9" t="s">
        <v>68</v>
      </c>
      <c r="J69" s="10" t="s">
        <v>246</v>
      </c>
      <c r="K69" s="10" t="s">
        <v>87</v>
      </c>
      <c r="L69" s="32">
        <v>89.368534006110707</v>
      </c>
    </row>
    <row r="70" spans="1:12" x14ac:dyDescent="0.25">
      <c r="A70" s="10" t="s">
        <v>19</v>
      </c>
      <c r="B70" s="10" t="s">
        <v>244</v>
      </c>
      <c r="C70" s="41">
        <v>49165</v>
      </c>
      <c r="D70" s="41">
        <v>1309984</v>
      </c>
      <c r="E70" s="10" t="s">
        <v>249</v>
      </c>
      <c r="F70" s="9">
        <v>2</v>
      </c>
      <c r="G70" s="40">
        <v>2</v>
      </c>
      <c r="H70" s="9">
        <v>2</v>
      </c>
      <c r="I70" s="9" t="s">
        <v>68</v>
      </c>
      <c r="J70" s="10" t="s">
        <v>246</v>
      </c>
      <c r="K70" s="10" t="s">
        <v>87</v>
      </c>
      <c r="L70" s="32">
        <v>45.463804086358003</v>
      </c>
    </row>
    <row r="71" spans="1:12" x14ac:dyDescent="0.25">
      <c r="A71" s="10" t="s">
        <v>19</v>
      </c>
      <c r="B71" s="10" t="s">
        <v>244</v>
      </c>
      <c r="C71" s="41">
        <v>41404</v>
      </c>
      <c r="D71" s="41">
        <v>1878661</v>
      </c>
      <c r="E71" s="10" t="s">
        <v>250</v>
      </c>
      <c r="F71" s="9">
        <v>1</v>
      </c>
      <c r="G71" s="40">
        <v>2</v>
      </c>
      <c r="H71" s="9">
        <v>2</v>
      </c>
      <c r="I71" s="9" t="s">
        <v>68</v>
      </c>
      <c r="J71" s="10" t="s">
        <v>246</v>
      </c>
      <c r="K71" s="10" t="s">
        <v>87</v>
      </c>
      <c r="L71" s="32">
        <v>160.03964580893</v>
      </c>
    </row>
    <row r="72" spans="1:12" x14ac:dyDescent="0.25">
      <c r="A72" s="10" t="s">
        <v>19</v>
      </c>
      <c r="B72" s="10" t="s">
        <v>244</v>
      </c>
      <c r="C72" s="41">
        <v>41404</v>
      </c>
      <c r="D72" s="41">
        <v>1878661</v>
      </c>
      <c r="E72" s="10" t="s">
        <v>250</v>
      </c>
      <c r="F72" s="9">
        <v>1</v>
      </c>
      <c r="G72" s="40">
        <v>2</v>
      </c>
      <c r="H72" s="9">
        <v>2</v>
      </c>
      <c r="I72" s="9" t="s">
        <v>68</v>
      </c>
      <c r="J72" s="10" t="s">
        <v>246</v>
      </c>
      <c r="K72" s="10" t="s">
        <v>87</v>
      </c>
      <c r="L72" s="32">
        <v>160.03964580893</v>
      </c>
    </row>
    <row r="73" spans="1:12" x14ac:dyDescent="0.25">
      <c r="A73" s="10" t="s">
        <v>19</v>
      </c>
      <c r="B73" s="10" t="s">
        <v>244</v>
      </c>
      <c r="C73" s="41">
        <v>49151</v>
      </c>
      <c r="D73" s="9" t="s">
        <v>251</v>
      </c>
      <c r="E73" s="10" t="s">
        <v>249</v>
      </c>
      <c r="F73" s="9">
        <v>1</v>
      </c>
      <c r="G73" s="40">
        <v>1</v>
      </c>
      <c r="H73" s="9">
        <v>1</v>
      </c>
      <c r="I73" s="9" t="s">
        <v>68</v>
      </c>
      <c r="J73" s="10" t="s">
        <v>246</v>
      </c>
      <c r="K73" s="10" t="s">
        <v>87</v>
      </c>
      <c r="L73" s="32">
        <v>13.2316522090525</v>
      </c>
    </row>
    <row r="74" spans="1:12" x14ac:dyDescent="0.25">
      <c r="A74" s="10" t="s">
        <v>19</v>
      </c>
      <c r="B74" s="10" t="s">
        <v>244</v>
      </c>
      <c r="C74" s="41">
        <v>81093</v>
      </c>
      <c r="D74" s="41">
        <v>2182244</v>
      </c>
      <c r="E74" s="10" t="s">
        <v>252</v>
      </c>
      <c r="F74" s="9">
        <v>1</v>
      </c>
      <c r="G74" s="10" t="s">
        <v>121</v>
      </c>
      <c r="H74" s="9">
        <v>2</v>
      </c>
      <c r="I74" s="9" t="s">
        <v>68</v>
      </c>
      <c r="J74" s="10" t="s">
        <v>253</v>
      </c>
      <c r="K74" s="10" t="s">
        <v>221</v>
      </c>
      <c r="L74" s="32">
        <v>106.91590009911501</v>
      </c>
    </row>
    <row r="75" spans="1:12" x14ac:dyDescent="0.25">
      <c r="A75" s="10" t="s">
        <v>19</v>
      </c>
      <c r="B75" s="10" t="s">
        <v>244</v>
      </c>
      <c r="C75" s="41">
        <v>49185</v>
      </c>
      <c r="D75" s="41">
        <v>2182252</v>
      </c>
      <c r="E75" s="10" t="s">
        <v>247</v>
      </c>
      <c r="F75" s="9">
        <v>1</v>
      </c>
      <c r="G75" s="40">
        <v>1</v>
      </c>
      <c r="H75" s="9">
        <v>1</v>
      </c>
      <c r="I75" s="9" t="s">
        <v>68</v>
      </c>
      <c r="J75" s="10" t="s">
        <v>246</v>
      </c>
      <c r="K75" s="10" t="s">
        <v>87</v>
      </c>
      <c r="L75" s="32">
        <v>179.335577744831</v>
      </c>
    </row>
    <row r="76" spans="1:12" x14ac:dyDescent="0.25">
      <c r="A76" s="10" t="s">
        <v>19</v>
      </c>
      <c r="B76" s="10" t="s">
        <v>244</v>
      </c>
      <c r="C76" s="41">
        <v>50795</v>
      </c>
      <c r="D76" s="41">
        <v>2287088</v>
      </c>
      <c r="E76" s="10" t="s">
        <v>254</v>
      </c>
      <c r="F76" s="9">
        <v>2</v>
      </c>
      <c r="G76" s="40">
        <v>2</v>
      </c>
      <c r="H76" s="9">
        <v>2</v>
      </c>
      <c r="I76" s="9" t="s">
        <v>68</v>
      </c>
      <c r="J76" s="10" t="s">
        <v>255</v>
      </c>
      <c r="K76" s="10" t="s">
        <v>87</v>
      </c>
      <c r="L76" s="32">
        <v>12.608022542410399</v>
      </c>
    </row>
    <row r="77" spans="1:12" x14ac:dyDescent="0.25">
      <c r="A77" s="10" t="s">
        <v>19</v>
      </c>
      <c r="B77" s="10" t="s">
        <v>244</v>
      </c>
      <c r="C77" s="41">
        <v>49186</v>
      </c>
      <c r="D77" s="41">
        <v>2374977</v>
      </c>
      <c r="E77" s="10" t="s">
        <v>247</v>
      </c>
      <c r="F77" s="9">
        <v>1</v>
      </c>
      <c r="G77" s="40">
        <v>1</v>
      </c>
      <c r="H77" s="9">
        <v>1</v>
      </c>
      <c r="I77" s="9" t="s">
        <v>68</v>
      </c>
      <c r="J77" s="10" t="s">
        <v>246</v>
      </c>
      <c r="K77" s="10" t="s">
        <v>87</v>
      </c>
      <c r="L77" s="32">
        <v>143.80779973951701</v>
      </c>
    </row>
    <row r="78" spans="1:12" x14ac:dyDescent="0.25">
      <c r="A78" s="10" t="s">
        <v>19</v>
      </c>
      <c r="B78" s="10" t="s">
        <v>244</v>
      </c>
      <c r="C78" s="41">
        <v>49012</v>
      </c>
      <c r="D78" s="41">
        <v>2482929</v>
      </c>
      <c r="E78" s="10" t="s">
        <v>256</v>
      </c>
      <c r="F78" s="9">
        <v>1</v>
      </c>
      <c r="G78" s="40">
        <v>1</v>
      </c>
      <c r="H78" s="9">
        <v>1</v>
      </c>
      <c r="I78" s="9" t="s">
        <v>68</v>
      </c>
      <c r="J78" s="10" t="s">
        <v>246</v>
      </c>
      <c r="K78" s="10" t="s">
        <v>87</v>
      </c>
      <c r="L78" s="32">
        <v>28.3167186813127</v>
      </c>
    </row>
    <row r="79" spans="1:12" x14ac:dyDescent="0.25">
      <c r="A79" s="10" t="s">
        <v>19</v>
      </c>
      <c r="B79" s="10" t="s">
        <v>244</v>
      </c>
      <c r="C79" s="41">
        <v>49013</v>
      </c>
      <c r="D79" s="41">
        <v>2482930</v>
      </c>
      <c r="E79" s="10" t="s">
        <v>256</v>
      </c>
      <c r="F79" s="9">
        <v>1</v>
      </c>
      <c r="G79" s="40">
        <v>1</v>
      </c>
      <c r="H79" s="9">
        <v>1</v>
      </c>
      <c r="I79" s="9" t="s">
        <v>68</v>
      </c>
      <c r="J79" s="10" t="s">
        <v>246</v>
      </c>
      <c r="K79" s="10" t="s">
        <v>87</v>
      </c>
      <c r="L79" s="32">
        <v>35.439312150675903</v>
      </c>
    </row>
    <row r="80" spans="1:12" x14ac:dyDescent="0.25">
      <c r="A80" s="10" t="s">
        <v>19</v>
      </c>
      <c r="B80" s="10" t="s">
        <v>244</v>
      </c>
      <c r="C80" s="41">
        <v>45662</v>
      </c>
      <c r="D80" s="41">
        <v>2527134</v>
      </c>
      <c r="E80" s="10" t="s">
        <v>257</v>
      </c>
      <c r="F80" s="9">
        <v>1</v>
      </c>
      <c r="G80" s="40">
        <v>1</v>
      </c>
      <c r="H80" s="9">
        <v>1</v>
      </c>
      <c r="I80" s="9" t="s">
        <v>68</v>
      </c>
      <c r="J80" s="10" t="s">
        <v>258</v>
      </c>
      <c r="K80" s="10" t="s">
        <v>87</v>
      </c>
      <c r="L80" s="32">
        <v>4113.2619599555501</v>
      </c>
    </row>
    <row r="81" spans="1:12" x14ac:dyDescent="0.25">
      <c r="A81" s="10" t="s">
        <v>19</v>
      </c>
      <c r="B81" s="10" t="s">
        <v>244</v>
      </c>
      <c r="C81" s="41">
        <v>34348</v>
      </c>
      <c r="D81" s="41">
        <v>2573226</v>
      </c>
      <c r="E81" s="10" t="s">
        <v>259</v>
      </c>
      <c r="F81" s="9">
        <v>1</v>
      </c>
      <c r="G81" s="10" t="s">
        <v>260</v>
      </c>
      <c r="H81" s="9">
        <v>6</v>
      </c>
      <c r="I81" s="9" t="s">
        <v>68</v>
      </c>
      <c r="J81" s="10" t="s">
        <v>261</v>
      </c>
      <c r="K81" s="10" t="s">
        <v>70</v>
      </c>
      <c r="L81" s="32">
        <v>79.176666857796604</v>
      </c>
    </row>
    <row r="82" spans="1:12" x14ac:dyDescent="0.25">
      <c r="A82" s="10" t="s">
        <v>19</v>
      </c>
      <c r="B82" s="10" t="s">
        <v>244</v>
      </c>
      <c r="C82" s="41">
        <v>81094</v>
      </c>
      <c r="D82" s="41">
        <v>2656975</v>
      </c>
      <c r="E82" s="10" t="s">
        <v>262</v>
      </c>
      <c r="F82" s="9">
        <v>1</v>
      </c>
      <c r="G82" s="10" t="s">
        <v>121</v>
      </c>
      <c r="H82" s="9">
        <v>2</v>
      </c>
      <c r="I82" s="9" t="s">
        <v>68</v>
      </c>
      <c r="J82" s="10" t="s">
        <v>253</v>
      </c>
      <c r="K82" s="10" t="s">
        <v>221</v>
      </c>
      <c r="L82" s="32">
        <v>109.59171915913799</v>
      </c>
    </row>
    <row r="83" spans="1:12" x14ac:dyDescent="0.25">
      <c r="A83" s="10" t="s">
        <v>19</v>
      </c>
      <c r="B83" s="10" t="s">
        <v>244</v>
      </c>
      <c r="C83" s="41">
        <v>49187</v>
      </c>
      <c r="D83" s="41">
        <v>2656977</v>
      </c>
      <c r="E83" s="10" t="s">
        <v>247</v>
      </c>
      <c r="F83" s="9">
        <v>1</v>
      </c>
      <c r="G83" s="40">
        <v>1</v>
      </c>
      <c r="H83" s="9">
        <v>1</v>
      </c>
      <c r="I83" s="9" t="s">
        <v>68</v>
      </c>
      <c r="J83" s="10" t="s">
        <v>246</v>
      </c>
      <c r="K83" s="10" t="s">
        <v>87</v>
      </c>
      <c r="L83" s="32">
        <v>144.04698519835199</v>
      </c>
    </row>
    <row r="84" spans="1:12" x14ac:dyDescent="0.25">
      <c r="A84" s="10" t="s">
        <v>19</v>
      </c>
      <c r="B84" s="10" t="s">
        <v>244</v>
      </c>
      <c r="C84" s="41">
        <v>34914</v>
      </c>
      <c r="D84" s="41">
        <v>2688792</v>
      </c>
      <c r="E84" s="10" t="s">
        <v>263</v>
      </c>
      <c r="F84" s="9">
        <v>1</v>
      </c>
      <c r="G84" s="40">
        <v>1</v>
      </c>
      <c r="H84" s="9">
        <v>1</v>
      </c>
      <c r="I84" s="9" t="s">
        <v>68</v>
      </c>
      <c r="J84" s="10" t="s">
        <v>258</v>
      </c>
      <c r="K84" s="10" t="s">
        <v>87</v>
      </c>
      <c r="L84" s="32">
        <v>329.32451951300101</v>
      </c>
    </row>
    <row r="85" spans="1:12" x14ac:dyDescent="0.25">
      <c r="A85" s="10" t="s">
        <v>19</v>
      </c>
      <c r="B85" s="10" t="s">
        <v>244</v>
      </c>
      <c r="C85" s="41">
        <v>48995</v>
      </c>
      <c r="D85" s="41">
        <v>2982634</v>
      </c>
      <c r="E85" s="10" t="s">
        <v>264</v>
      </c>
      <c r="F85" s="9">
        <v>1</v>
      </c>
      <c r="G85" s="40">
        <v>1</v>
      </c>
      <c r="H85" s="9">
        <v>1</v>
      </c>
      <c r="I85" s="9" t="s">
        <v>68</v>
      </c>
      <c r="J85" s="10" t="s">
        <v>265</v>
      </c>
      <c r="K85" s="10" t="s">
        <v>87</v>
      </c>
      <c r="L85" s="32">
        <v>262.25211130315103</v>
      </c>
    </row>
    <row r="86" spans="1:12" x14ac:dyDescent="0.25">
      <c r="A86" s="10" t="s">
        <v>19</v>
      </c>
      <c r="B86" s="10" t="s">
        <v>244</v>
      </c>
      <c r="C86" s="41">
        <v>48996</v>
      </c>
      <c r="D86" s="41">
        <v>2982635</v>
      </c>
      <c r="E86" s="10" t="s">
        <v>264</v>
      </c>
      <c r="F86" s="9">
        <v>1</v>
      </c>
      <c r="G86" s="40">
        <v>1</v>
      </c>
      <c r="H86" s="9">
        <v>1</v>
      </c>
      <c r="I86" s="9" t="s">
        <v>68</v>
      </c>
      <c r="J86" s="10" t="s">
        <v>265</v>
      </c>
      <c r="K86" s="10" t="s">
        <v>87</v>
      </c>
      <c r="L86" s="32">
        <v>168.482401028825</v>
      </c>
    </row>
    <row r="87" spans="1:12" x14ac:dyDescent="0.25">
      <c r="A87" s="10" t="s">
        <v>19</v>
      </c>
      <c r="B87" s="10" t="s">
        <v>244</v>
      </c>
      <c r="C87" s="41">
        <v>49015</v>
      </c>
      <c r="D87" s="41">
        <v>3080855</v>
      </c>
      <c r="E87" s="10" t="s">
        <v>266</v>
      </c>
      <c r="F87" s="9">
        <v>1</v>
      </c>
      <c r="G87" s="40">
        <v>1</v>
      </c>
      <c r="H87" s="9">
        <v>1</v>
      </c>
      <c r="I87" s="9" t="s">
        <v>68</v>
      </c>
      <c r="J87" s="10" t="s">
        <v>267</v>
      </c>
      <c r="K87" s="10" t="s">
        <v>87</v>
      </c>
      <c r="L87" s="32">
        <v>157.98417990241501</v>
      </c>
    </row>
    <row r="88" spans="1:12" x14ac:dyDescent="0.25">
      <c r="A88" s="10" t="s">
        <v>19</v>
      </c>
      <c r="B88" s="10" t="s">
        <v>244</v>
      </c>
      <c r="C88" s="41">
        <v>97933</v>
      </c>
      <c r="D88" s="41">
        <v>3187190</v>
      </c>
      <c r="E88" s="10" t="s">
        <v>268</v>
      </c>
      <c r="F88" s="9">
        <v>1</v>
      </c>
      <c r="G88" s="40">
        <v>1</v>
      </c>
      <c r="H88" s="9">
        <v>1</v>
      </c>
      <c r="I88" s="9" t="s">
        <v>68</v>
      </c>
      <c r="J88" s="10" t="s">
        <v>246</v>
      </c>
      <c r="K88" s="10" t="s">
        <v>87</v>
      </c>
      <c r="L88" s="32">
        <v>96.141086655581105</v>
      </c>
    </row>
    <row r="89" spans="1:12" x14ac:dyDescent="0.25">
      <c r="A89" s="10" t="s">
        <v>19</v>
      </c>
      <c r="B89" s="10" t="s">
        <v>244</v>
      </c>
      <c r="C89" s="41">
        <v>60856</v>
      </c>
      <c r="D89" s="41">
        <v>3205074</v>
      </c>
      <c r="E89" s="10" t="s">
        <v>269</v>
      </c>
      <c r="F89" s="9">
        <v>1</v>
      </c>
      <c r="G89" s="10" t="s">
        <v>270</v>
      </c>
      <c r="H89" s="9">
        <v>3</v>
      </c>
      <c r="I89" s="9" t="s">
        <v>68</v>
      </c>
      <c r="J89" s="10" t="s">
        <v>271</v>
      </c>
      <c r="K89" s="10" t="s">
        <v>70</v>
      </c>
      <c r="L89" s="32">
        <v>103.668875582605</v>
      </c>
    </row>
    <row r="90" spans="1:12" x14ac:dyDescent="0.25">
      <c r="A90" s="10" t="s">
        <v>19</v>
      </c>
      <c r="B90" s="10" t="s">
        <v>244</v>
      </c>
      <c r="C90" s="41">
        <v>97932</v>
      </c>
      <c r="D90" s="41">
        <v>3267963</v>
      </c>
      <c r="E90" s="10" t="s">
        <v>272</v>
      </c>
      <c r="F90" s="9">
        <v>1</v>
      </c>
      <c r="G90" s="40">
        <v>1</v>
      </c>
      <c r="H90" s="9">
        <v>1</v>
      </c>
      <c r="I90" s="9" t="s">
        <v>68</v>
      </c>
      <c r="J90" s="10" t="s">
        <v>246</v>
      </c>
      <c r="K90" s="10" t="s">
        <v>87</v>
      </c>
      <c r="L90" s="32">
        <v>149.943616669807</v>
      </c>
    </row>
    <row r="91" spans="1:12" x14ac:dyDescent="0.25">
      <c r="A91" s="10" t="s">
        <v>19</v>
      </c>
      <c r="B91" s="10" t="s">
        <v>244</v>
      </c>
      <c r="C91" s="41">
        <v>85676</v>
      </c>
      <c r="D91" s="41">
        <v>3488635</v>
      </c>
      <c r="E91" s="10" t="s">
        <v>273</v>
      </c>
      <c r="F91" s="9">
        <v>1</v>
      </c>
      <c r="G91" s="40">
        <v>1</v>
      </c>
      <c r="H91" s="9">
        <v>1</v>
      </c>
      <c r="I91" s="9" t="s">
        <v>68</v>
      </c>
      <c r="J91" s="10" t="s">
        <v>258</v>
      </c>
      <c r="K91" s="10" t="s">
        <v>87</v>
      </c>
      <c r="L91" s="32">
        <v>74.399783750133096</v>
      </c>
    </row>
    <row r="92" spans="1:12" x14ac:dyDescent="0.25">
      <c r="A92" s="10" t="s">
        <v>19</v>
      </c>
      <c r="B92" s="10" t="s">
        <v>244</v>
      </c>
      <c r="C92" s="41">
        <v>49017</v>
      </c>
      <c r="D92" s="41">
        <v>3914209</v>
      </c>
      <c r="E92" s="10" t="s">
        <v>274</v>
      </c>
      <c r="F92" s="9">
        <v>89</v>
      </c>
      <c r="G92" s="40">
        <v>102</v>
      </c>
      <c r="H92" s="9">
        <v>102</v>
      </c>
      <c r="I92" s="9" t="s">
        <v>68</v>
      </c>
      <c r="J92" s="10" t="s">
        <v>246</v>
      </c>
      <c r="K92" s="10" t="s">
        <v>87</v>
      </c>
      <c r="L92" s="32">
        <v>176.61825618510099</v>
      </c>
    </row>
    <row r="93" spans="1:12" x14ac:dyDescent="0.25">
      <c r="A93" s="10" t="s">
        <v>19</v>
      </c>
      <c r="B93" s="10" t="s">
        <v>244</v>
      </c>
      <c r="C93" s="41">
        <v>49017</v>
      </c>
      <c r="D93" s="41">
        <v>3914209</v>
      </c>
      <c r="E93" s="10" t="s">
        <v>274</v>
      </c>
      <c r="F93" s="9">
        <v>13</v>
      </c>
      <c r="G93" s="40">
        <v>102</v>
      </c>
      <c r="H93" s="9">
        <v>102</v>
      </c>
      <c r="I93" s="9" t="s">
        <v>68</v>
      </c>
      <c r="J93" s="10" t="s">
        <v>246</v>
      </c>
      <c r="K93" s="10" t="s">
        <v>87</v>
      </c>
      <c r="L93" s="32">
        <v>25.798172251756402</v>
      </c>
    </row>
    <row r="94" spans="1:12" x14ac:dyDescent="0.25">
      <c r="A94" s="10" t="s">
        <v>19</v>
      </c>
      <c r="B94" s="10" t="s">
        <v>244</v>
      </c>
      <c r="C94" s="41">
        <v>49010</v>
      </c>
      <c r="D94" s="9" t="s">
        <v>275</v>
      </c>
      <c r="E94" s="10" t="s">
        <v>276</v>
      </c>
      <c r="F94" s="9">
        <v>4</v>
      </c>
      <c r="G94" s="40">
        <v>4</v>
      </c>
      <c r="H94" s="9">
        <v>4</v>
      </c>
      <c r="I94" s="9" t="s">
        <v>68</v>
      </c>
      <c r="J94" s="10" t="s">
        <v>246</v>
      </c>
      <c r="K94" s="10" t="s">
        <v>87</v>
      </c>
      <c r="L94" s="32">
        <v>31.166192937475898</v>
      </c>
    </row>
    <row r="95" spans="1:12" x14ac:dyDescent="0.25">
      <c r="A95" s="10" t="s">
        <v>19</v>
      </c>
      <c r="B95" s="10" t="s">
        <v>244</v>
      </c>
      <c r="C95" s="41">
        <v>10673</v>
      </c>
      <c r="D95" s="9" t="s">
        <v>277</v>
      </c>
      <c r="E95" s="10" t="s">
        <v>278</v>
      </c>
      <c r="F95" s="9">
        <v>5</v>
      </c>
      <c r="G95" s="10" t="s">
        <v>279</v>
      </c>
      <c r="H95" s="9">
        <v>19</v>
      </c>
      <c r="I95" s="9" t="s">
        <v>68</v>
      </c>
      <c r="J95" s="10" t="s">
        <v>280</v>
      </c>
      <c r="K95" s="10" t="s">
        <v>221</v>
      </c>
      <c r="L95" s="32">
        <v>8.7264466488096701</v>
      </c>
    </row>
    <row r="96" spans="1:12" x14ac:dyDescent="0.25">
      <c r="A96" s="10" t="s">
        <v>19</v>
      </c>
      <c r="B96" s="10" t="s">
        <v>244</v>
      </c>
      <c r="C96" s="41">
        <v>97931</v>
      </c>
      <c r="D96" s="41">
        <v>4186836</v>
      </c>
      <c r="E96" s="10" t="s">
        <v>281</v>
      </c>
      <c r="F96" s="9">
        <v>1</v>
      </c>
      <c r="G96" s="40">
        <v>1</v>
      </c>
      <c r="H96" s="9">
        <v>1</v>
      </c>
      <c r="I96" s="9" t="s">
        <v>68</v>
      </c>
      <c r="J96" s="10" t="s">
        <v>246</v>
      </c>
      <c r="K96" s="10" t="s">
        <v>87</v>
      </c>
      <c r="L96" s="32">
        <v>1700.2845105572001</v>
      </c>
    </row>
    <row r="97" spans="1:12" x14ac:dyDescent="0.25">
      <c r="A97" s="10" t="s">
        <v>19</v>
      </c>
      <c r="B97" s="10" t="s">
        <v>244</v>
      </c>
      <c r="C97" s="41">
        <v>81095</v>
      </c>
      <c r="D97" s="41">
        <v>4582087</v>
      </c>
      <c r="E97" s="10" t="s">
        <v>282</v>
      </c>
      <c r="F97" s="9">
        <v>1</v>
      </c>
      <c r="G97" s="10" t="s">
        <v>121</v>
      </c>
      <c r="H97" s="9">
        <v>2</v>
      </c>
      <c r="I97" s="9" t="s">
        <v>68</v>
      </c>
      <c r="J97" s="10" t="s">
        <v>253</v>
      </c>
      <c r="K97" s="10" t="s">
        <v>221</v>
      </c>
      <c r="L97" s="32">
        <v>356.34919984818799</v>
      </c>
    </row>
    <row r="98" spans="1:12" x14ac:dyDescent="0.25">
      <c r="A98" s="10" t="s">
        <v>19</v>
      </c>
      <c r="B98" s="10" t="s">
        <v>244</v>
      </c>
      <c r="C98" s="41">
        <v>49009</v>
      </c>
      <c r="D98" s="9" t="s">
        <v>283</v>
      </c>
      <c r="E98" s="10" t="s">
        <v>284</v>
      </c>
      <c r="F98" s="9">
        <v>1</v>
      </c>
      <c r="G98" s="40">
        <v>1</v>
      </c>
      <c r="H98" s="9">
        <v>1</v>
      </c>
      <c r="I98" s="9" t="s">
        <v>68</v>
      </c>
      <c r="J98" s="10" t="s">
        <v>246</v>
      </c>
      <c r="K98" s="10" t="s">
        <v>87</v>
      </c>
      <c r="L98" s="32">
        <v>7.2236192910171697</v>
      </c>
    </row>
    <row r="99" spans="1:12" x14ac:dyDescent="0.25">
      <c r="A99" s="10" t="s">
        <v>298</v>
      </c>
      <c r="B99" s="10" t="s">
        <v>285</v>
      </c>
      <c r="C99" s="41">
        <v>33873</v>
      </c>
      <c r="D99" s="41">
        <v>1046730</v>
      </c>
      <c r="E99" s="10" t="s">
        <v>286</v>
      </c>
      <c r="F99" s="9">
        <v>1</v>
      </c>
      <c r="G99" s="40">
        <v>9</v>
      </c>
      <c r="H99" s="9">
        <v>9</v>
      </c>
      <c r="I99" s="9" t="s">
        <v>68</v>
      </c>
      <c r="J99" s="10" t="s">
        <v>287</v>
      </c>
      <c r="K99" s="10" t="s">
        <v>87</v>
      </c>
      <c r="L99" s="32">
        <v>0.45980400990599102</v>
      </c>
    </row>
    <row r="100" spans="1:12" x14ac:dyDescent="0.25">
      <c r="A100" s="10" t="s">
        <v>298</v>
      </c>
      <c r="B100" s="10" t="s">
        <v>285</v>
      </c>
      <c r="C100" s="41">
        <v>36372</v>
      </c>
      <c r="D100" s="41">
        <v>2634081</v>
      </c>
      <c r="E100" s="10" t="s">
        <v>288</v>
      </c>
      <c r="F100" s="9">
        <v>1</v>
      </c>
      <c r="G100" s="40">
        <v>1</v>
      </c>
      <c r="H100" s="9">
        <v>1</v>
      </c>
      <c r="I100" s="9" t="s">
        <v>68</v>
      </c>
      <c r="J100" s="10" t="s">
        <v>152</v>
      </c>
      <c r="K100" s="10" t="s">
        <v>87</v>
      </c>
      <c r="L100" s="32">
        <v>675.67052476088304</v>
      </c>
    </row>
    <row r="101" spans="1:12" x14ac:dyDescent="0.25">
      <c r="A101" s="10" t="s">
        <v>298</v>
      </c>
      <c r="B101" s="10" t="s">
        <v>285</v>
      </c>
      <c r="C101" s="9"/>
      <c r="D101" s="41">
        <v>2839854</v>
      </c>
      <c r="E101" s="10" t="s">
        <v>288</v>
      </c>
      <c r="F101" s="9">
        <v>1</v>
      </c>
      <c r="G101" s="40">
        <v>1</v>
      </c>
      <c r="H101" s="9">
        <v>1</v>
      </c>
      <c r="I101" s="9" t="s">
        <v>68</v>
      </c>
      <c r="J101" s="10"/>
      <c r="K101" s="10" t="s">
        <v>289</v>
      </c>
      <c r="L101" s="32">
        <v>0</v>
      </c>
    </row>
    <row r="102" spans="1:12" x14ac:dyDescent="0.25">
      <c r="A102" s="10" t="s">
        <v>298</v>
      </c>
      <c r="B102" s="10" t="s">
        <v>285</v>
      </c>
      <c r="C102" s="41">
        <v>98173</v>
      </c>
      <c r="D102" s="41">
        <v>3795846</v>
      </c>
      <c r="E102" s="10" t="s">
        <v>290</v>
      </c>
      <c r="F102" s="9">
        <v>1</v>
      </c>
      <c r="G102" s="40">
        <v>1</v>
      </c>
      <c r="H102" s="9">
        <v>1</v>
      </c>
      <c r="I102" s="9" t="s">
        <v>68</v>
      </c>
      <c r="J102" s="10" t="s">
        <v>152</v>
      </c>
      <c r="K102" s="10" t="s">
        <v>87</v>
      </c>
      <c r="L102" s="32">
        <v>1918.7367403609101</v>
      </c>
    </row>
    <row r="103" spans="1:12" x14ac:dyDescent="0.25">
      <c r="A103" s="10" t="s">
        <v>299</v>
      </c>
      <c r="B103" s="10" t="s">
        <v>291</v>
      </c>
      <c r="C103" s="9"/>
      <c r="D103" s="9" t="s">
        <v>292</v>
      </c>
      <c r="E103" s="10" t="s">
        <v>293</v>
      </c>
      <c r="F103" s="9">
        <v>1</v>
      </c>
      <c r="G103" s="40">
        <v>4</v>
      </c>
      <c r="H103" s="9">
        <v>4</v>
      </c>
      <c r="I103" s="9" t="s">
        <v>68</v>
      </c>
      <c r="J103" s="10" t="s">
        <v>294</v>
      </c>
      <c r="K103" s="10" t="s">
        <v>87</v>
      </c>
      <c r="L103" s="32">
        <v>342.43193726569501</v>
      </c>
    </row>
    <row r="104" spans="1:12" x14ac:dyDescent="0.25">
      <c r="E104" s="25" t="s">
        <v>295</v>
      </c>
      <c r="L104" s="33">
        <f>SUM(L2:L103)</f>
        <v>45764.155219348933</v>
      </c>
    </row>
  </sheetData>
  <autoFilter ref="A1:L103" xr:uid="{00000000-0009-0000-0000-000002000000}"/>
  <conditionalFormatting sqref="A2:L103">
    <cfRule type="expression" dxfId="1" priority="2">
      <formula>$I2="SIN EXISTENCIA"</formula>
    </cfRule>
    <cfRule type="expression" dxfId="0" priority="3">
      <formula>$I2="PARCIAL"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GANTT</vt:lpstr>
      <vt:lpstr>RESUMEN_REPUESTOS</vt:lpstr>
      <vt:lpstr>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Junior Valles</cp:lastModifiedBy>
  <cp:revision>0</cp:revision>
  <dcterms:created xsi:type="dcterms:W3CDTF">2026-09-03T23:11:36Z</dcterms:created>
  <dcterms:modified xsi:type="dcterms:W3CDTF">2026-09-04T14:47:09Z</dcterms:modified>
  <dc:language>en-US</dc:language>
</cp:coreProperties>
</file>